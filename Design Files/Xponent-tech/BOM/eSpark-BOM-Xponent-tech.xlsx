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xponenttech-sleepenhancer-hardware\Design Files\Xponent-tech\BOM\"/>
    </mc:Choice>
  </mc:AlternateContent>
  <bookViews>
    <workbookView xWindow="28680" yWindow="-120" windowWidth="29040" windowHeight="15840"/>
  </bookViews>
  <sheets>
    <sheet name="1 Board" sheetId="3" r:id="rId1"/>
    <sheet name="2 Boards" sheetId="2" r:id="rId2"/>
    <sheet name="5 Boards" sheetId="1" r:id="rId3"/>
  </sheets>
  <calcPr calcId="162913"/>
</workbook>
</file>

<file path=xl/calcChain.xml><?xml version="1.0" encoding="utf-8"?>
<calcChain xmlns="http://schemas.openxmlformats.org/spreadsheetml/2006/main">
  <c r="P57" i="3" l="1"/>
  <c r="P60" i="3" l="1"/>
  <c r="P61" i="3"/>
  <c r="B33" i="2"/>
  <c r="B33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Q57" i="2"/>
  <c r="Q60" i="2"/>
  <c r="Q61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Q62" i="1"/>
  <c r="Q57" i="1"/>
  <c r="M57" i="1"/>
  <c r="B57" i="1"/>
  <c r="Q33" i="1" l="1"/>
  <c r="M33" i="1"/>
  <c r="M34" i="1"/>
  <c r="P58" i="3" l="1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62" i="3" s="1"/>
  <c r="M10" i="2"/>
  <c r="Q58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62" i="2" l="1"/>
  <c r="Q63" i="2" s="1"/>
  <c r="Q61" i="1"/>
  <c r="M61" i="1"/>
  <c r="B61" i="1"/>
  <c r="Q60" i="1"/>
  <c r="M60" i="1"/>
  <c r="B60" i="1"/>
  <c r="M59" i="1"/>
  <c r="B59" i="1"/>
  <c r="Q58" i="1"/>
  <c r="M58" i="1"/>
  <c r="B58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Q36" i="1"/>
  <c r="M36" i="1"/>
  <c r="B36" i="1"/>
  <c r="Q35" i="1"/>
  <c r="M35" i="1"/>
  <c r="B35" i="1"/>
  <c r="Q34" i="1"/>
  <c r="B34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63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<sst xmlns="http://schemas.openxmlformats.org/spreadsheetml/2006/main" count="1643" uniqueCount="328">
  <si>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</si>
  <si>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</si>
  <si>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</si>
  <si>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</si>
  <si>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</si>
  <si>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</si>
  <si>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</si>
  <si>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</si>
  <si>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</si>
  <si>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</si>
  <si>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Header</t>
  </si>
  <si>
    <t>Microphone</t>
  </si>
  <si>
    <t>Resistor</t>
  </si>
  <si>
    <t>Potentiometer</t>
  </si>
  <si>
    <t>Solder Bridge</t>
  </si>
  <si>
    <t>Switch</t>
  </si>
  <si>
    <t>Designator</t>
  </si>
  <si>
    <t>C1, C2, C10, C13</t>
  </si>
  <si>
    <t>C3, C5, C17, C20</t>
  </si>
  <si>
    <t>C4</t>
  </si>
  <si>
    <t>C6</t>
  </si>
  <si>
    <t>C7</t>
  </si>
  <si>
    <t>C8, C18</t>
  </si>
  <si>
    <t>C9</t>
  </si>
  <si>
    <t>C11</t>
  </si>
  <si>
    <t>C12</t>
  </si>
  <si>
    <t>C14, C15</t>
  </si>
  <si>
    <t>C16</t>
  </si>
  <si>
    <t>C19</t>
  </si>
  <si>
    <t>C21</t>
  </si>
  <si>
    <t>C22</t>
  </si>
  <si>
    <t>J1</t>
  </si>
  <si>
    <t>J2</t>
  </si>
  <si>
    <t>MK1</t>
  </si>
  <si>
    <t>R2, R3, R4, R7, R8, R9, R48, R52, R65, R66, R68, R69, R70</t>
  </si>
  <si>
    <t>R6, R42, R43, R58</t>
  </si>
  <si>
    <t>R11, R12</t>
  </si>
  <si>
    <t>R13</t>
  </si>
  <si>
    <t>R15, R16</t>
  </si>
  <si>
    <t>R17</t>
  </si>
  <si>
    <t>R18, R19</t>
  </si>
  <si>
    <t>R20, R21, R49</t>
  </si>
  <si>
    <t>R22, R23</t>
  </si>
  <si>
    <t>R24, R25, R50</t>
  </si>
  <si>
    <t>R26, R27</t>
  </si>
  <si>
    <t>R28, R29, R53</t>
  </si>
  <si>
    <t>R30, R31, R55</t>
  </si>
  <si>
    <t>R32, R33</t>
  </si>
  <si>
    <t>R34, R35, R56</t>
  </si>
  <si>
    <t>R36, R37</t>
  </si>
  <si>
    <t>R38, R39, R57</t>
  </si>
  <si>
    <t>R40, R41</t>
  </si>
  <si>
    <t>R44, R45</t>
  </si>
  <si>
    <t>R46, R47, R59</t>
  </si>
  <si>
    <t>R51</t>
  </si>
  <si>
    <t>R54</t>
  </si>
  <si>
    <t>R60</t>
  </si>
  <si>
    <t>R61</t>
  </si>
  <si>
    <t>R62</t>
  </si>
  <si>
    <t>R63</t>
  </si>
  <si>
    <t>R64</t>
  </si>
  <si>
    <t>R71, R72</t>
  </si>
  <si>
    <t>SB1, SB2</t>
  </si>
  <si>
    <t>SW1, SW2, SW3, SW4, SW5, SW6, SW7, SW8, SW9</t>
  </si>
  <si>
    <t>U1, U2, U3</t>
  </si>
  <si>
    <t>Description</t>
  </si>
  <si>
    <t>CAP CER 0.1UF 50V X7R 0603</t>
  </si>
  <si>
    <t>CAP CER 1UF 50V X7R 0603</t>
  </si>
  <si>
    <t>CAP CER 47PF 100V NPO 0603</t>
  </si>
  <si>
    <t>CAP CER 0.047UF 50V X8R 0603</t>
  </si>
  <si>
    <t>CAP CER 4700PF 50V C0G/NPO 0603</t>
  </si>
  <si>
    <t>CAP ALUM 10uF 25V SMD</t>
  </si>
  <si>
    <t>CAP CER 0.022UF 100V X7R 0603</t>
  </si>
  <si>
    <t>100V 4.2nF X7R ±10% 0402 Multilayer Ceramic Capacitors MLCC - SMD/SMT ROHS</t>
  </si>
  <si>
    <t>CAP CER 1200PF 25V X7R 0402</t>
  </si>
  <si>
    <t>50V 100nF C0G ±1% 1206 Multilayer Ceramic Capacitors MLCC - SMD/SMT ROHS</t>
  </si>
  <si>
    <t>50V 200nF ±10% 0805 Multilayer Ceramic Capacitors MLCC - SMD/SMT ROHS</t>
  </si>
  <si>
    <t>CAP CER 4.7UF 50V X7R 1206</t>
  </si>
  <si>
    <t>CAP CER 33PF 25V C0G/NP0 0402</t>
  </si>
  <si>
    <t>CAP, 2.2µF, 35V, 10%, X5R, 0603</t>
  </si>
  <si>
    <t>KK 254 Breakaway Header, Vertical, 2 Circuits, Tin (Sn) Plating, Mating Pin Length 6.09mm</t>
  </si>
  <si>
    <t>3A Straight Square Pins -40℃~+105℃ 3 2.54mm Black 1x3P Plugin,P=2.54mm Pin Headers ROHS</t>
  </si>
  <si>
    <t>1.5V~3.6V Omnidirectional 120uA -42dB 400Ω 59dB SMD-4P,1.9x2.8mm MEMS Microphones ROHS</t>
  </si>
  <si>
    <t>TRIMMER 100K OHM 0.1W J LEAD TOP</t>
  </si>
  <si>
    <t>RES SMD 10K OHM 0.1% 1/10W 0603</t>
  </si>
  <si>
    <t>±25% 500kΩ SMD Variable Resistors/Potentiometers ROHS</t>
  </si>
  <si>
    <t>RES SMD 1K OHM 0.1% 1/10W 0603</t>
  </si>
  <si>
    <t>RES SMD 3.3K OHM 0.1% 1/10W 0603</t>
  </si>
  <si>
    <t>RES SMD 22K OHM 0.1% 1/10W 0603</t>
  </si>
  <si>
    <t>RES SMD 1.8K OHM 0.1% 1/10W 0603</t>
  </si>
  <si>
    <t>RES SMD 270 OHM 0.1% 1/10W 0603</t>
  </si>
  <si>
    <t>±1% 80kΩ 0603 Chip Resistor - Surface Mount ROHS</t>
  </si>
  <si>
    <t>±0.1% 40kΩ 0805 Chip Resistor - Surface Mount ROHS</t>
  </si>
  <si>
    <t>±25ppm/℃ ±0.1% 27kΩ 0402 Chip Resistor - Surface Mount ROHS</t>
  </si>
  <si>
    <t>100mW ±25ppm/℃ ±0.1% 20kΩ 0603 Chip Resistor - Surface Mount ROHS</t>
  </si>
  <si>
    <t>RES 16K OHM 0.5% 1/10W 0603</t>
  </si>
  <si>
    <t>RES SMD 8.2K OHM 0.1% 1/10W 0603</t>
  </si>
  <si>
    <t>RES 4.02K OHM 1% 1/16W 0402</t>
  </si>
  <si>
    <t>RES 2.7K OHM 1% 1/10W 0603</t>
  </si>
  <si>
    <t>100mW ±25ppm/℃ ±0.1% 2kΩ 0603 Chip Resistor - Surface Mount ROHS</t>
  </si>
  <si>
    <t>RES SMD 1.6K OHM 0.1% 1/16W 0402</t>
  </si>
  <si>
    <t>100mW ±25ppm/℃ ±0.1% 1.3kΩ 0603 Chip Resistor - Surface Mount ROHS</t>
  </si>
  <si>
    <t>RES SMD 1.1K OHM 0.1% 1/10W 0603</t>
  </si>
  <si>
    <t>125mW Thin Film Resistor 150V ±25ppm/℃ ±0.1% -55℃~+155℃ 900Ω 0805 Chip Resistor - Surface Mount ROHS</t>
  </si>
  <si>
    <t>RES SMD 806 OHM 0.1% 1/16W 0402</t>
  </si>
  <si>
    <t>RES SMD 13.3KOHM 0.1% 1/10W 0603</t>
  </si>
  <si>
    <t>125mW Thick Film Resistors 150V ±100ppm/℃ ±1% -55℃~+155℃ 98kΩ 0805 Chip Resistor - Surface Mount ROHS</t>
  </si>
  <si>
    <t>RES SMD 649 OHM 0.1% 1/8W 0805</t>
  </si>
  <si>
    <t>62.5mW Thin Film Resistor 50V ±25ppm/℃ ±0.1% -55℃~+155℃ 549Ω 0402 Chip Resistor - Surface Mount ROHS</t>
  </si>
  <si>
    <t>125mW Thin Film Resistor 150V ±25ppm/℃ ±0.1% -55℃~+155℃ 500Ω 0805 Chip Resistor - Surface Mount ROHS</t>
  </si>
  <si>
    <t>RES SMD 453 OHM 0.1% 1/16W 0402</t>
  </si>
  <si>
    <t>100mW Thin Film Resistor 75V ±25ppm/℃ ±0.1% -55℃~+155℃ 402Ω 0603 Chip Resistor - Surface Mount ROHS</t>
  </si>
  <si>
    <t>RES SMD 47K OHM 0.1% 1/10W 0603</t>
  </si>
  <si>
    <t>Solder Bridge ON</t>
  </si>
  <si>
    <t>Gull Wing SPST 24V 25mA Black -20℃~+70℃ 3000 Flat dial, raised type 2.54mm 5 SMD-10P,6x12.6mm DIP Switches ROHS</t>
  </si>
  <si>
    <t>General Purpose Amplifier 2 Circuit  8-SO</t>
  </si>
  <si>
    <t>Footprint</t>
  </si>
  <si>
    <t>CAP-0603</t>
  </si>
  <si>
    <t>Cap-0603</t>
  </si>
  <si>
    <t>Cap-0402</t>
  </si>
  <si>
    <t>Cap-1206</t>
  </si>
  <si>
    <t>Cap-0805</t>
  </si>
  <si>
    <t>HDR1X2_</t>
  </si>
  <si>
    <t>HDR1X3_</t>
  </si>
  <si>
    <t>Res-0603</t>
  </si>
  <si>
    <t>RES-0805</t>
  </si>
  <si>
    <t>Res-0402</t>
  </si>
  <si>
    <t>SOIC-8</t>
  </si>
  <si>
    <t>Manufacturer Part Number</t>
  </si>
  <si>
    <t>CL10B104KB8NNNL</t>
  </si>
  <si>
    <t>UMK107AB7105KA-T</t>
  </si>
  <si>
    <t>AC0603JRNPO0BN470</t>
  </si>
  <si>
    <t>CGA3E2X8R1H473M080AA</t>
  </si>
  <si>
    <t>CC0603JRNPO9BN472</t>
  </si>
  <si>
    <t>RVT1E100M0405</t>
  </si>
  <si>
    <t>CGA3E2X7R2A223K080AA</t>
  </si>
  <si>
    <t>GCM155R72A472KA01D</t>
  </si>
  <si>
    <t>C0402C122K3RAC7867</t>
  </si>
  <si>
    <t>GRM31C5C1H104FA01L</t>
  </si>
  <si>
    <t>NL0805B204K500CPBN</t>
  </si>
  <si>
    <t>C3216X7R1H475K160AC</t>
  </si>
  <si>
    <t>GRM1555C1E330JA01D</t>
  </si>
  <si>
    <t>GRM188R6YA225KA12D</t>
  </si>
  <si>
    <t>22-28-4020</t>
  </si>
  <si>
    <t>C49257</t>
  </si>
  <si>
    <t>ZTS6117</t>
  </si>
  <si>
    <t>TC33X-2-104E</t>
  </si>
  <si>
    <t>RT0603BRD0710KL</t>
  </si>
  <si>
    <t>VG039NCHXTB504</t>
  </si>
  <si>
    <t>RT0603BRD071KL</t>
  </si>
  <si>
    <t>RT0603BRD073K3L</t>
  </si>
  <si>
    <t>RT0603BRD0722KL</t>
  </si>
  <si>
    <t>RT0603BRD071K8L</t>
  </si>
  <si>
    <t>RT0603BRE07270RL</t>
  </si>
  <si>
    <t>ARG03FTC8002N</t>
  </si>
  <si>
    <t>AR05BTC4002</t>
  </si>
  <si>
    <t>ARG02BTC2702</t>
  </si>
  <si>
    <t>AR03BTCX2002</t>
  </si>
  <si>
    <t>RC0603DR-0716KL</t>
  </si>
  <si>
    <t>RT0603BRD078K2L</t>
  </si>
  <si>
    <t>RC0402FR-074K02L</t>
  </si>
  <si>
    <t>RC0603FR-072K7L</t>
  </si>
  <si>
    <t>AR03BTCX2001</t>
  </si>
  <si>
    <t>RT0402BRD071K6L</t>
  </si>
  <si>
    <t>AR03BTCX1301</t>
  </si>
  <si>
    <t>RT0603BRD071K1L</t>
  </si>
  <si>
    <t>ARG05BTC9000N</t>
  </si>
  <si>
    <t>RT0402BRD07806RL</t>
  </si>
  <si>
    <t>RT0603BRD0713K3L</t>
  </si>
  <si>
    <t>FRC0805F9802TS</t>
  </si>
  <si>
    <t>RT0805BRD07649RL</t>
  </si>
  <si>
    <t>ARG02BTC5490</t>
  </si>
  <si>
    <t>ARG05BTC5000</t>
  </si>
  <si>
    <t>RT0402BRD07453RL</t>
  </si>
  <si>
    <t>ARG03BTC4020</t>
  </si>
  <si>
    <t>RT0603BRD0747KL</t>
  </si>
  <si>
    <t>DSIC05LS-P</t>
  </si>
  <si>
    <t>LM2904DT</t>
  </si>
  <si>
    <t>Manufacturer</t>
  </si>
  <si>
    <t>Samsung</t>
  </si>
  <si>
    <t>Taiyo Yuden</t>
  </si>
  <si>
    <t>Yageo</t>
  </si>
  <si>
    <t>TDK</t>
  </si>
  <si>
    <t>ROQANG</t>
  </si>
  <si>
    <t>Murata Electronics</t>
  </si>
  <si>
    <t>KEMET</t>
  </si>
  <si>
    <t>HUI JU</t>
  </si>
  <si>
    <t>Murata</t>
  </si>
  <si>
    <t>Molex</t>
  </si>
  <si>
    <t>BOOMELE</t>
  </si>
  <si>
    <t>Zilltek</t>
  </si>
  <si>
    <t>Bourns</t>
  </si>
  <si>
    <t>HDK</t>
  </si>
  <si>
    <t>Viking Tech</t>
  </si>
  <si>
    <t>FOJAN</t>
  </si>
  <si>
    <t>XKB Connectivity</t>
  </si>
  <si>
    <t>STMicroelectronics</t>
  </si>
  <si>
    <t>LCSC Part Number</t>
  </si>
  <si>
    <t>C913912</t>
  </si>
  <si>
    <t>C105174</t>
  </si>
  <si>
    <t>C389107</t>
  </si>
  <si>
    <t>C576818</t>
  </si>
  <si>
    <t>C970655</t>
  </si>
  <si>
    <t>C2980803</t>
  </si>
  <si>
    <t>C2981728</t>
  </si>
  <si>
    <t>C918135</t>
  </si>
  <si>
    <t>C86017</t>
  </si>
  <si>
    <t>C234182</t>
  </si>
  <si>
    <t>C481300</t>
  </si>
  <si>
    <t>C719186</t>
  </si>
  <si>
    <t>C95204</t>
  </si>
  <si>
    <t>C128558</t>
  </si>
  <si>
    <t>C110776</t>
  </si>
  <si>
    <t>C309653</t>
  </si>
  <si>
    <t>C469656</t>
  </si>
  <si>
    <t>C705745</t>
  </si>
  <si>
    <t>C705836</t>
  </si>
  <si>
    <t>C3014409</t>
  </si>
  <si>
    <t>C5266069</t>
  </si>
  <si>
    <t>C5266105</t>
  </si>
  <si>
    <t>C319766</t>
  </si>
  <si>
    <t>C327136</t>
  </si>
  <si>
    <t>C861589</t>
  </si>
  <si>
    <t>C137968</t>
  </si>
  <si>
    <t>C114612</t>
  </si>
  <si>
    <t>C318130</t>
  </si>
  <si>
    <t>C852616</t>
  </si>
  <si>
    <t>C2984321</t>
  </si>
  <si>
    <t>C705736</t>
  </si>
  <si>
    <t>C2828704</t>
  </si>
  <si>
    <t>C852922</t>
  </si>
  <si>
    <t>C861117</t>
  </si>
  <si>
    <t>C2933514</t>
  </si>
  <si>
    <t>C865602</t>
  </si>
  <si>
    <t>C2684524</t>
  </si>
  <si>
    <t>C2828711</t>
  </si>
  <si>
    <t>C852794</t>
  </si>
  <si>
    <t>C2683044</t>
  </si>
  <si>
    <t>C326725</t>
  </si>
  <si>
    <t>C319036</t>
  </si>
  <si>
    <t>0.1uF</t>
  </si>
  <si>
    <t>1uF</t>
  </si>
  <si>
    <t>47pF</t>
  </si>
  <si>
    <t>47nF</t>
  </si>
  <si>
    <t>4.7nF</t>
  </si>
  <si>
    <t>10uF</t>
  </si>
  <si>
    <t>22nF</t>
  </si>
  <si>
    <t>4.2nF</t>
  </si>
  <si>
    <t>1.2nF</t>
  </si>
  <si>
    <t>0.2uF</t>
  </si>
  <si>
    <t>4.7uF</t>
  </si>
  <si>
    <t>33pF</t>
  </si>
  <si>
    <t>2.2uF</t>
  </si>
  <si>
    <t>100k</t>
  </si>
  <si>
    <t>10K</t>
  </si>
  <si>
    <t>500k</t>
  </si>
  <si>
    <t>1K</t>
  </si>
  <si>
    <t>3.3k</t>
  </si>
  <si>
    <t>22K</t>
  </si>
  <si>
    <t>1.8K</t>
  </si>
  <si>
    <t>270R</t>
  </si>
  <si>
    <t>80K</t>
  </si>
  <si>
    <t>40K</t>
  </si>
  <si>
    <t>27K</t>
  </si>
  <si>
    <t>20K</t>
  </si>
  <si>
    <t>16K</t>
  </si>
  <si>
    <t>8.2K</t>
  </si>
  <si>
    <t>4.02K</t>
  </si>
  <si>
    <t>2.7K</t>
  </si>
  <si>
    <t>2K</t>
  </si>
  <si>
    <t>1.6K</t>
  </si>
  <si>
    <t>1.3K</t>
  </si>
  <si>
    <t>1.1K</t>
  </si>
  <si>
    <t>900R</t>
  </si>
  <si>
    <t>806R</t>
  </si>
  <si>
    <t>13.3K</t>
  </si>
  <si>
    <t>98K</t>
  </si>
  <si>
    <t>649R</t>
  </si>
  <si>
    <t>549R</t>
  </si>
  <si>
    <t>500R</t>
  </si>
  <si>
    <t>453R</t>
  </si>
  <si>
    <t>402R</t>
  </si>
  <si>
    <t>47K</t>
  </si>
  <si>
    <t>Quantity</t>
  </si>
  <si>
    <t>Bill of Materials for Project [Xponent-tech]</t>
  </si>
  <si>
    <t>Xponent-tech</t>
  </si>
  <si>
    <t>Alternate Part Number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</si>
  <si>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</si>
  <si>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</si>
  <si>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</si>
  <si>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</si>
  <si>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</si>
  <si>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</si>
  <si>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</si>
  <si>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</si>
  <si>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Custom</t>
  </si>
  <si>
    <t>C105411</t>
  </si>
  <si>
    <t>LCSC</t>
  </si>
  <si>
    <t>-</t>
  </si>
  <si>
    <t>0402B122K250CT</t>
  </si>
  <si>
    <t>C458850</t>
  </si>
  <si>
    <t>C313105</t>
  </si>
  <si>
    <t>CC0603KRX7R0BB223</t>
  </si>
  <si>
    <t>GRM31CR61E476ME44L</t>
  </si>
  <si>
    <t>C403725</t>
  </si>
  <si>
    <t>0402N330K250CT</t>
  </si>
  <si>
    <t>C387979</t>
  </si>
  <si>
    <t>FN18X473K500PBG</t>
  </si>
  <si>
    <t>C525277</t>
  </si>
  <si>
    <t>IC</t>
  </si>
  <si>
    <t>Quantity (2 Boards)</t>
  </si>
  <si>
    <t>MOQ (2 Boards)</t>
  </si>
  <si>
    <t>Unit Cost (2 Boards)</t>
  </si>
  <si>
    <t>Total Cost (2 Boards)</t>
  </si>
  <si>
    <t>R1, R10</t>
  </si>
  <si>
    <t>Trimmer, Cermet, Rest 100 Kilohms, PCB, 25 Turns, Pwr-Rtg 0.5W, 3296 Series</t>
  </si>
  <si>
    <t>3296W-1-104</t>
  </si>
  <si>
    <t>BOCHEN(Chengdu Guosheng Tech)</t>
  </si>
  <si>
    <t>C330435</t>
  </si>
  <si>
    <t>R5</t>
  </si>
  <si>
    <t>R14</t>
  </si>
  <si>
    <t>Res Cermet Trimmer 500K Ohm 10% 1/2W 25(Elec)Turn</t>
  </si>
  <si>
    <t>3296W-1-504</t>
  </si>
  <si>
    <t>C330437</t>
  </si>
  <si>
    <t>R67</t>
  </si>
  <si>
    <t>MOQ (1 Boards)</t>
  </si>
  <si>
    <t>Unit Cost (1 Boards)</t>
  </si>
  <si>
    <t>Total Cost (1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</si>
</sst>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0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165" fontId="22" fillId="2" borderId="17" xfId="0" applyNumberFormat="1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2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6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1" fillId="4" borderId="22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3" fillId="2" borderId="22" xfId="1" applyFill="1" applyBorder="1" applyAlignment="1">
      <alignment horizontal="center" vertical="center" wrapText="1"/>
    </xf>
    <xf numFmtId="165" fontId="18" fillId="2" borderId="22" xfId="0" applyNumberFormat="1" applyFont="1" applyFill="1" applyBorder="1" applyAlignment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horizontal="center" vertical="center"/>
      <protection locked="0"/>
    </xf>
    <xf numFmtId="0" fontId="11" fillId="3" borderId="12" xfId="0" applyFont="1" applyFill="1" applyBorder="1" applyAlignment="1" applyProtection="1">
      <alignment vertical="center"/>
      <protection locked="0"/>
    </xf>
    <xf numFmtId="0" fontId="12" fillId="3" borderId="12" xfId="0" applyFont="1" applyFill="1" applyBorder="1" applyAlignment="1" applyProtection="1">
      <alignment horizontal="left" vertical="center"/>
      <protection locked="0"/>
    </xf>
    <xf numFmtId="0" fontId="0" fillId="3" borderId="12" xfId="0" applyFill="1" applyBorder="1" applyAlignment="1">
      <alignment vertical="center"/>
    </xf>
    <xf numFmtId="0" fontId="0" fillId="3" borderId="12" xfId="0" applyFill="1" applyBorder="1"/>
    <xf numFmtId="0" fontId="19" fillId="2" borderId="1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/>
    </xf>
    <xf numFmtId="0" fontId="11" fillId="3" borderId="0" xfId="0" applyFont="1" applyFill="1" applyBorder="1"/>
    <xf numFmtId="0" fontId="11" fillId="3" borderId="0" xfId="0" quotePrefix="1" applyFont="1" applyFill="1" applyBorder="1" applyAlignment="1">
      <alignment horizontal="left"/>
    </xf>
    <xf numFmtId="0" fontId="8" fillId="3" borderId="0" xfId="0" applyFont="1" applyFill="1" applyBorder="1"/>
    <xf numFmtId="0" fontId="6" fillId="3" borderId="0" xfId="0" applyFont="1" applyFill="1" applyBorder="1" applyAlignment="1">
      <alignment horizontal="center"/>
    </xf>
    <xf numFmtId="0" fontId="16" fillId="3" borderId="0" xfId="0" applyFont="1" applyFill="1" applyBorder="1"/>
    <xf numFmtId="0" fontId="10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164" fontId="13" fillId="3" borderId="0" xfId="0" applyNumberFormat="1" applyFont="1" applyFill="1" applyBorder="1" applyAlignment="1">
      <alignment horizontal="left"/>
    </xf>
    <xf numFmtId="0" fontId="0" fillId="3" borderId="13" xfId="0" applyFill="1" applyBorder="1"/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9525</xdr:colOff>
      <xdr:row>2</xdr:row>
      <xdr:rowOff>10417</xdr:rowOff>
    </xdr:from>
    <xdr:to>
      <xdr:col>17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56410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0730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T0603BRD0710KL_C95204.html" TargetMode="External"/><Relationship Id="rId18" Type="http://schemas.openxmlformats.org/officeDocument/2006/relationships/hyperlink" Target="https://www.lcsc.com/product-detail/Chip-Resistor-Surface-Mount_YAGEO-RT0603BRD071K8L_C705745.html" TargetMode="External"/><Relationship Id="rId26" Type="http://schemas.openxmlformats.org/officeDocument/2006/relationships/hyperlink" Target="https://www.lcsc.com/product-detail/Chip-Resistor-Surface-Mount_YAGEO-RC0402FR-074K02L_C137968.html" TargetMode="External"/><Relationship Id="rId39" Type="http://schemas.openxmlformats.org/officeDocument/2006/relationships/hyperlink" Target="https://www.lcsc.com/product-detail/Chip-Resistor-Surface-Mount_YAGEO-RT0402BRD07453RL_C852794.html" TargetMode="External"/><Relationship Id="rId21" Type="http://schemas.openxmlformats.org/officeDocument/2006/relationships/hyperlink" Target="https://www.lcsc.com/product-detail/Chip-Resistor-Surface-Mount_Viking-Tech-AR05BTC4002_C5266069.html" TargetMode="External"/><Relationship Id="rId34" Type="http://schemas.openxmlformats.org/officeDocument/2006/relationships/hyperlink" Target="https://www.lcsc.com/product-detail/Chip-Resistor-Surface-Mount_YAGEO-RT0603BRD0713K3L_C861117.html" TargetMode="External"/><Relationship Id="rId42" Type="http://schemas.openxmlformats.org/officeDocument/2006/relationships/hyperlink" Target="https://www.lcsc.com/product-detail/DIP-Switches_XKB-Connectivity-DSIC05LS-P_C319036.html" TargetMode="External"/><Relationship Id="rId47" Type="http://schemas.openxmlformats.org/officeDocument/2006/relationships/hyperlink" Target="https://www.lcsc.com/product-detail/Multilayer-Ceramic-Capacitors-MLCC-SMD-SMT_Walsin-Tech-Corp-0402N330K250CT_C387979.html" TargetMode="External"/><Relationship Id="rId50" Type="http://schemas.openxmlformats.org/officeDocument/2006/relationships/hyperlink" Target="https://www.lcsc.com/product-detail/Variable-Resistors-Potentiometers_BOCHEN-Chengdu-Guosheng-Tech-3296W-1-504_C330437.html" TargetMode="External"/><Relationship Id="rId7" Type="http://schemas.openxmlformats.org/officeDocument/2006/relationships/hyperlink" Target="https://www.lcsc.com/product-detail/Multilayer-Ceramic-Capacitors-MLCC-SMD-SMT_Murata-Electronics-GRM31C5C1H104FA01L_C2981728.html" TargetMode="External"/><Relationship Id="rId2" Type="http://schemas.openxmlformats.org/officeDocument/2006/relationships/hyperlink" Target="https://www.lcsc.com/product-detail/Multilayer-Ceramic-Capacitors-MLCC-SMD-SMT_Taiyo-Yuden-UMK107AB7105KA-T_C105174.html" TargetMode="External"/><Relationship Id="rId16" Type="http://schemas.openxmlformats.org/officeDocument/2006/relationships/hyperlink" Target="https://www.lcsc.com/product-detail/Chip-Resistor-Surface-Mount_YAGEO-RT0603BRD073K3L_C309653.html" TargetMode="External"/><Relationship Id="rId29" Type="http://schemas.openxmlformats.org/officeDocument/2006/relationships/hyperlink" Target="https://www.lcsc.com/product-detail/Chip-Resistor-Surface-Mount_YAGEO-RT0402BRD071K6L_C852616.html" TargetMode="External"/><Relationship Id="rId11" Type="http://schemas.openxmlformats.org/officeDocument/2006/relationships/hyperlink" Target="https://www.lcsc.com/product-detail/Pin-Headers_BOOMELE-Boom-Precision-Elec-C49257_C49257.html" TargetMode="External"/><Relationship Id="rId24" Type="http://schemas.openxmlformats.org/officeDocument/2006/relationships/hyperlink" Target="https://www.lcsc.com/product-detail/Chip-Resistor-Surface-Mount_YAGEO-RC0603DR-0716KL_C327136.html" TargetMode="External"/><Relationship Id="rId32" Type="http://schemas.openxmlformats.org/officeDocument/2006/relationships/hyperlink" Target="https://www.lcsc.com/product-detail/Chip-Resistor-Surface-Mount_Viking-Tech-ARG05BTC9000N_C2828704.html" TargetMode="External"/><Relationship Id="rId37" Type="http://schemas.openxmlformats.org/officeDocument/2006/relationships/hyperlink" Target="https://www.lcsc.com/product-detail/Chip-Resistor-Surface-Mount_Viking-Tech-ARG02BTC5490_C2684524.html" TargetMode="External"/><Relationship Id="rId40" Type="http://schemas.openxmlformats.org/officeDocument/2006/relationships/hyperlink" Target="https://www.lcsc.com/product-detail/Chip-Resistor-Surface-Mount_Viking-Tech-ARG03BTC4020_C2683044.html" TargetMode="External"/><Relationship Id="rId45" Type="http://schemas.openxmlformats.org/officeDocument/2006/relationships/hyperlink" Target="https://www.lcsc.com/product-detail/Multilayer-Ceramic-Capacitors-MLCC-SMD-SMT_YAGEO-CC0603KRX7R0BB223_C313105.html" TargetMode="External"/><Relationship Id="rId5" Type="http://schemas.openxmlformats.org/officeDocument/2006/relationships/hyperlink" Target="https://www.lcsc.com/product-detail/Aluminum-Electrolytic-Capacitors-SMD_DMBJ-RVT1E100M0405_C970655.html" TargetMode="External"/><Relationship Id="rId15" Type="http://schemas.openxmlformats.org/officeDocument/2006/relationships/hyperlink" Target="https://www.lcsc.com/product-detail/Chip-Resistor-Surface-Mount_YAGEO-RT0603BRD071KL_C110776.html" TargetMode="External"/><Relationship Id="rId23" Type="http://schemas.openxmlformats.org/officeDocument/2006/relationships/hyperlink" Target="https://www.lcsc.com/product-detail/Chip-Resistor-Surface-Mount_Viking-Tech-AR03BTCX2002_C319766.html" TargetMode="External"/><Relationship Id="rId28" Type="http://schemas.openxmlformats.org/officeDocument/2006/relationships/hyperlink" Target="https://www.lcsc.com/product-detail/Chip-Resistor-Surface-Mount_Viking-Tech-AR03BTCX2001_C318130.html" TargetMode="External"/><Relationship Id="rId36" Type="http://schemas.openxmlformats.org/officeDocument/2006/relationships/hyperlink" Target="https://www.lcsc.com/product-detail/Chip-Resistor-Surface-Mount_YAGEO-RT0805BRD07649RL_C865602.html" TargetMode="External"/><Relationship Id="rId49" Type="http://schemas.openxmlformats.org/officeDocument/2006/relationships/hyperlink" Target="https://www.lcsc.com/product-detail/Variable-Resistors-Potentiometers_BOCHEN-Chengdu-Guosheng-Tech-3296W-1-104_C330435.html" TargetMode="External"/><Relationship Id="rId10" Type="http://schemas.openxmlformats.org/officeDocument/2006/relationships/hyperlink" Target="https://www.lcsc.com/product-detail/Pin-Headers_MOLEX-22284020_C234182.html" TargetMode="External"/><Relationship Id="rId19" Type="http://schemas.openxmlformats.org/officeDocument/2006/relationships/hyperlink" Target="https://www.lcsc.com/product-detail/Chip-Resistor-Surface-Mount_YAGEO-RT0603BRE07270RL_C705836.html" TargetMode="External"/><Relationship Id="rId31" Type="http://schemas.openxmlformats.org/officeDocument/2006/relationships/hyperlink" Target="https://www.lcsc.com/product-detail/Chip-Resistor-Surface-Mount_YAGEO-RT0603BRD071K1L_C705736.html" TargetMode="External"/><Relationship Id="rId44" Type="http://schemas.openxmlformats.org/officeDocument/2006/relationships/hyperlink" Target="https://www.lcsc.com/product-detail/Multilayer-Ceramic-Capacitors-MLCC-SMD-SMT_Walsin-Tech-Corp-0402B122K250CT_C458850.html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603JRNPO9BN472_C576818.html" TargetMode="External"/><Relationship Id="rId9" Type="http://schemas.openxmlformats.org/officeDocument/2006/relationships/hyperlink" Target="https://www.lcsc.com/product-detail/Multilayer-Ceramic-Capacitors-MLCC-SMD-SMT_Murata-Electronics-GRM188R6YA225KA12D_C86017.html" TargetMode="External"/><Relationship Id="rId14" Type="http://schemas.openxmlformats.org/officeDocument/2006/relationships/hyperlink" Target="https://www.lcsc.com/product-detail/Variable-Resistors-Potentiometers_HDK-Hokuriku-Elec-Industry-VG039NCHXTB504_C128558.html" TargetMode="External"/><Relationship Id="rId22" Type="http://schemas.openxmlformats.org/officeDocument/2006/relationships/hyperlink" Target="https://www.lcsc.com/product-detail/Chip-Resistor-Surface-Mount_Viking-Tech-ARG02BTC2702_C5266105.html" TargetMode="External"/><Relationship Id="rId27" Type="http://schemas.openxmlformats.org/officeDocument/2006/relationships/hyperlink" Target="https://www.lcsc.com/product-detail/Chip-Resistor-Surface-Mount_YAGEO-RC0603FR-072K7L_C114612.html" TargetMode="External"/><Relationship Id="rId30" Type="http://schemas.openxmlformats.org/officeDocument/2006/relationships/hyperlink" Target="https://www.lcsc.com/product-detail/Chip-Resistor-Surface-Mount_Viking-Tech-AR03BTCX1301_C2984321.html" TargetMode="External"/><Relationship Id="rId35" Type="http://schemas.openxmlformats.org/officeDocument/2006/relationships/hyperlink" Target="https://www.lcsc.com/product-detail/Chip-Resistor-Surface-Mount_FOJAN-FRC0805F9802TS_C2933514.html" TargetMode="External"/><Relationship Id="rId43" Type="http://schemas.openxmlformats.org/officeDocument/2006/relationships/hyperlink" Target="https://www.lcsc.com/product-detail/Operational-Amplifier_STMicroelectronics-LM2904DT_C105411.html" TargetMode="External"/><Relationship Id="rId48" Type="http://schemas.openxmlformats.org/officeDocument/2006/relationships/hyperlink" Target="https://www.lcsc.com/product-detail/Multilayer-Ceramic-Capacitors-MLCC-SMD-SMT_PSA-Prosperity-Dielectrics-FN18X473K500PBG_C525277.html" TargetMode="External"/><Relationship Id="rId8" Type="http://schemas.openxmlformats.org/officeDocument/2006/relationships/hyperlink" Target="https://www.lcsc.com/product-detail/Multilayer-Ceramic-Capacitors-MLCC-SMD-SMT_HUI-JU-NL0805B204K500CPBN_C918135.html" TargetMode="External"/><Relationship Id="rId51" Type="http://schemas.openxmlformats.org/officeDocument/2006/relationships/hyperlink" Target="https://www.lcsc.com/product-detail/Variable-Resistors-Potentiometers_BOURNS-TC33X-2-104E_C719186.html" TargetMode="External"/><Relationship Id="rId3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MEMS-Microphones_ZILLTEK-ZTS6117_C481300.html" TargetMode="External"/><Relationship Id="rId17" Type="http://schemas.openxmlformats.org/officeDocument/2006/relationships/hyperlink" Target="https://www.lcsc.com/product-detail/Chip-Resistor-Surface-Mount_YAGEO-RT0603BRD0722KL_C469656.html" TargetMode="External"/><Relationship Id="rId25" Type="http://schemas.openxmlformats.org/officeDocument/2006/relationships/hyperlink" Target="https://www.lcsc.com/product-detail/Chip-Resistor-Surface-Mount_YAGEO-RT0603BRD078K2L_C861589.html" TargetMode="External"/><Relationship Id="rId33" Type="http://schemas.openxmlformats.org/officeDocument/2006/relationships/hyperlink" Target="https://www.lcsc.com/product-detail/Chip-Resistor-Surface-Mount_YAGEO-RT0402BRD07806RL_C852922.html" TargetMode="External"/><Relationship Id="rId38" Type="http://schemas.openxmlformats.org/officeDocument/2006/relationships/hyperlink" Target="https://www.lcsc.com/product-detail/Chip-Resistor-Surface-Mount_Viking-Tech-ARG05BTC5000_C2828711.html" TargetMode="External"/><Relationship Id="rId46" Type="http://schemas.openxmlformats.org/officeDocument/2006/relationships/hyperlink" Target="https://www.lcsc.com/product-detail/Multilayer-Ceramic-Capacitors-MLCC-SMD-SMT_Murata-Electronics-GRM31CR61E476ME44L_C403725.html" TargetMode="External"/><Relationship Id="rId20" Type="http://schemas.openxmlformats.org/officeDocument/2006/relationships/hyperlink" Target="https://www.lcsc.com/product-detail/Chip-Resistor-Surface-Mount_Viking-Tech-ARG03FTC8002N_C3014409.html" TargetMode="External"/><Relationship Id="rId41" Type="http://schemas.openxmlformats.org/officeDocument/2006/relationships/hyperlink" Target="https://www.lcsc.com/product-detail/Chip-Resistor-Surface-Mount_YAGEO-RT0603BRD0747KL_C326725.html" TargetMode="External"/><Relationship Id="rId1" Type="http://schemas.openxmlformats.org/officeDocument/2006/relationships/hyperlink" Target="https://www.lcsc.com/product-detail/Multilayer-Ceramic-Capacitors-MLCC-SMD-SMT_Samsung-Electro-Mechanics-CL10B104KB8NNNL_C913912.html" TargetMode="External"/><Relationship Id="rId6" Type="http://schemas.openxmlformats.org/officeDocument/2006/relationships/hyperlink" Target="https://www.lcsc.com/product-detail/Multilayer-Ceramic-Capacitors-MLCC-SMD-SMT_Murata-Electronics-GCM155R72A472KA01D_C2980803.htm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T0603BRD0710KL_C95204.html" TargetMode="External"/><Relationship Id="rId18" Type="http://schemas.openxmlformats.org/officeDocument/2006/relationships/hyperlink" Target="https://www.lcsc.com/product-detail/Chip-Resistor-Surface-Mount_YAGEO-RT0603BRD071K8L_C705745.html" TargetMode="External"/><Relationship Id="rId26" Type="http://schemas.openxmlformats.org/officeDocument/2006/relationships/hyperlink" Target="https://www.lcsc.com/product-detail/Chip-Resistor-Surface-Mount_YAGEO-RC0402FR-074K02L_C137968.html" TargetMode="External"/><Relationship Id="rId39" Type="http://schemas.openxmlformats.org/officeDocument/2006/relationships/hyperlink" Target="https://www.lcsc.com/product-detail/Chip-Resistor-Surface-Mount_YAGEO-RT0402BRD07453RL_C852794.html" TargetMode="External"/><Relationship Id="rId21" Type="http://schemas.openxmlformats.org/officeDocument/2006/relationships/hyperlink" Target="https://www.lcsc.com/product-detail/Chip-Resistor-Surface-Mount_Viking-Tech-AR05BTC4002_C5266069.html" TargetMode="External"/><Relationship Id="rId34" Type="http://schemas.openxmlformats.org/officeDocument/2006/relationships/hyperlink" Target="https://www.lcsc.com/product-detail/Chip-Resistor-Surface-Mount_YAGEO-RT0603BRD0713K3L_C861117.html" TargetMode="External"/><Relationship Id="rId42" Type="http://schemas.openxmlformats.org/officeDocument/2006/relationships/hyperlink" Target="https://www.lcsc.com/product-detail/DIP-Switches_XKB-Connectivity-DSIC05LS-P_C319036.html" TargetMode="External"/><Relationship Id="rId47" Type="http://schemas.openxmlformats.org/officeDocument/2006/relationships/hyperlink" Target="https://www.lcsc.com/product-detail/Multilayer-Ceramic-Capacitors-MLCC-SMD-SMT_Walsin-Tech-Corp-0402N330K250CT_C387979.html" TargetMode="External"/><Relationship Id="rId50" Type="http://schemas.openxmlformats.org/officeDocument/2006/relationships/hyperlink" Target="https://www.lcsc.com/product-detail/Variable-Resistors-Potentiometers_BOCHEN-Chengdu-Guosheng-Tech-3296W-1-504_C330437.html" TargetMode="External"/><Relationship Id="rId7" Type="http://schemas.openxmlformats.org/officeDocument/2006/relationships/hyperlink" Target="https://www.lcsc.com/product-detail/Multilayer-Ceramic-Capacitors-MLCC-SMD-SMT_Murata-Electronics-GRM31C5C1H104FA01L_C2981728.html" TargetMode="External"/><Relationship Id="rId2" Type="http://schemas.openxmlformats.org/officeDocument/2006/relationships/hyperlink" Target="https://www.lcsc.com/product-detail/Multilayer-Ceramic-Capacitors-MLCC-SMD-SMT_Taiyo-Yuden-UMK107AB7105KA-T_C105174.html" TargetMode="External"/><Relationship Id="rId16" Type="http://schemas.openxmlformats.org/officeDocument/2006/relationships/hyperlink" Target="https://www.lcsc.com/product-detail/Chip-Resistor-Surface-Mount_YAGEO-RT0603BRD073K3L_C309653.html" TargetMode="External"/><Relationship Id="rId29" Type="http://schemas.openxmlformats.org/officeDocument/2006/relationships/hyperlink" Target="https://www.lcsc.com/product-detail/Chip-Resistor-Surface-Mount_YAGEO-RT0402BRD071K6L_C852616.html" TargetMode="External"/><Relationship Id="rId11" Type="http://schemas.openxmlformats.org/officeDocument/2006/relationships/hyperlink" Target="https://www.lcsc.com/product-detail/Pin-Headers_BOOMELE-Boom-Precision-Elec-C49257_C49257.html" TargetMode="External"/><Relationship Id="rId24" Type="http://schemas.openxmlformats.org/officeDocument/2006/relationships/hyperlink" Target="https://www.lcsc.com/product-detail/Chip-Resistor-Surface-Mount_YAGEO-RC0603DR-0716KL_C327136.html" TargetMode="External"/><Relationship Id="rId32" Type="http://schemas.openxmlformats.org/officeDocument/2006/relationships/hyperlink" Target="https://www.lcsc.com/product-detail/Chip-Resistor-Surface-Mount_Viking-Tech-ARG05BTC9000N_C2828704.html" TargetMode="External"/><Relationship Id="rId37" Type="http://schemas.openxmlformats.org/officeDocument/2006/relationships/hyperlink" Target="https://www.lcsc.com/product-detail/Chip-Resistor-Surface-Mount_Viking-Tech-ARG02BTC5490_C2684524.html" TargetMode="External"/><Relationship Id="rId40" Type="http://schemas.openxmlformats.org/officeDocument/2006/relationships/hyperlink" Target="https://www.lcsc.com/product-detail/Chip-Resistor-Surface-Mount_Viking-Tech-ARG03BTC4020_C2683044.html" TargetMode="External"/><Relationship Id="rId45" Type="http://schemas.openxmlformats.org/officeDocument/2006/relationships/hyperlink" Target="https://www.lcsc.com/product-detail/Multilayer-Ceramic-Capacitors-MLCC-SMD-SMT_YAGEO-CC0603KRX7R0BB223_C313105.html" TargetMode="External"/><Relationship Id="rId5" Type="http://schemas.openxmlformats.org/officeDocument/2006/relationships/hyperlink" Target="https://www.lcsc.com/product-detail/Aluminum-Electrolytic-Capacitors-SMD_DMBJ-RVT1E100M0405_C970655.html" TargetMode="External"/><Relationship Id="rId15" Type="http://schemas.openxmlformats.org/officeDocument/2006/relationships/hyperlink" Target="https://www.lcsc.com/product-detail/Chip-Resistor-Surface-Mount_YAGEO-RT0603BRD071KL_C110776.html" TargetMode="External"/><Relationship Id="rId23" Type="http://schemas.openxmlformats.org/officeDocument/2006/relationships/hyperlink" Target="https://www.lcsc.com/product-detail/Chip-Resistor-Surface-Mount_Viking-Tech-AR03BTCX2002_C319766.html" TargetMode="External"/><Relationship Id="rId28" Type="http://schemas.openxmlformats.org/officeDocument/2006/relationships/hyperlink" Target="https://www.lcsc.com/product-detail/Chip-Resistor-Surface-Mount_Viking-Tech-AR03BTCX2001_C318130.html" TargetMode="External"/><Relationship Id="rId36" Type="http://schemas.openxmlformats.org/officeDocument/2006/relationships/hyperlink" Target="https://www.lcsc.com/product-detail/Chip-Resistor-Surface-Mount_YAGEO-RT0805BRD07649RL_C865602.html" TargetMode="External"/><Relationship Id="rId49" Type="http://schemas.openxmlformats.org/officeDocument/2006/relationships/hyperlink" Target="https://www.lcsc.com/product-detail/Variable-Resistors-Potentiometers_BOCHEN-Chengdu-Guosheng-Tech-3296W-1-104_C330435.html" TargetMode="External"/><Relationship Id="rId10" Type="http://schemas.openxmlformats.org/officeDocument/2006/relationships/hyperlink" Target="https://www.lcsc.com/product-detail/Pin-Headers_MOLEX-22284020_C234182.html" TargetMode="External"/><Relationship Id="rId19" Type="http://schemas.openxmlformats.org/officeDocument/2006/relationships/hyperlink" Target="https://www.lcsc.com/product-detail/Chip-Resistor-Surface-Mount_YAGEO-RT0603BRE07270RL_C705836.html" TargetMode="External"/><Relationship Id="rId31" Type="http://schemas.openxmlformats.org/officeDocument/2006/relationships/hyperlink" Target="https://www.lcsc.com/product-detail/Chip-Resistor-Surface-Mount_YAGEO-RT0603BRD071K1L_C705736.html" TargetMode="External"/><Relationship Id="rId44" Type="http://schemas.openxmlformats.org/officeDocument/2006/relationships/hyperlink" Target="https://www.lcsc.com/product-detail/Multilayer-Ceramic-Capacitors-MLCC-SMD-SMT_Walsin-Tech-Corp-0402B122K250CT_C458850.html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s://www.lcsc.com/product-detail/Multilayer-Ceramic-Capacitors-MLCC-SMD-SMT_YAGEO-CC0603JRNPO9BN472_C576818.html" TargetMode="External"/><Relationship Id="rId9" Type="http://schemas.openxmlformats.org/officeDocument/2006/relationships/hyperlink" Target="https://www.lcsc.com/product-detail/Multilayer-Ceramic-Capacitors-MLCC-SMD-SMT_Murata-Electronics-GRM188R6YA225KA12D_C86017.html" TargetMode="External"/><Relationship Id="rId14" Type="http://schemas.openxmlformats.org/officeDocument/2006/relationships/hyperlink" Target="https://www.lcsc.com/product-detail/Variable-Resistors-Potentiometers_HDK-Hokuriku-Elec-Industry-VG039NCHXTB504_C128558.html" TargetMode="External"/><Relationship Id="rId22" Type="http://schemas.openxmlformats.org/officeDocument/2006/relationships/hyperlink" Target="https://www.lcsc.com/product-detail/Chip-Resistor-Surface-Mount_Viking-Tech-ARG02BTC2702_C5266105.html" TargetMode="External"/><Relationship Id="rId27" Type="http://schemas.openxmlformats.org/officeDocument/2006/relationships/hyperlink" Target="https://www.lcsc.com/product-detail/Chip-Resistor-Surface-Mount_YAGEO-RC0603FR-072K7L_C114612.html" TargetMode="External"/><Relationship Id="rId30" Type="http://schemas.openxmlformats.org/officeDocument/2006/relationships/hyperlink" Target="https://www.lcsc.com/product-detail/Chip-Resistor-Surface-Mount_Viking-Tech-AR03BTCX1301_C2984321.html" TargetMode="External"/><Relationship Id="rId35" Type="http://schemas.openxmlformats.org/officeDocument/2006/relationships/hyperlink" Target="https://www.lcsc.com/product-detail/Chip-Resistor-Surface-Mount_FOJAN-FRC0805F9802TS_C2933514.html" TargetMode="External"/><Relationship Id="rId43" Type="http://schemas.openxmlformats.org/officeDocument/2006/relationships/hyperlink" Target="https://www.lcsc.com/product-detail/Operational-Amplifier_STMicroelectronics-LM2904DT_C105411.html" TargetMode="External"/><Relationship Id="rId48" Type="http://schemas.openxmlformats.org/officeDocument/2006/relationships/hyperlink" Target="https://www.lcsc.com/product-detail/Multilayer-Ceramic-Capacitors-MLCC-SMD-SMT_PSA-Prosperity-Dielectrics-FN18X473K500PBG_C525277.html" TargetMode="External"/><Relationship Id="rId8" Type="http://schemas.openxmlformats.org/officeDocument/2006/relationships/hyperlink" Target="https://www.lcsc.com/product-detail/Multilayer-Ceramic-Capacitors-MLCC-SMD-SMT_HUI-JU-NL0805B204K500CPBN_C918135.html" TargetMode="External"/><Relationship Id="rId51" Type="http://schemas.openxmlformats.org/officeDocument/2006/relationships/hyperlink" Target="https://www.lcsc.com/product-detail/Variable-Resistors-Potentiometers_BOURNS-TC33X-2-104E_C719186.html" TargetMode="External"/><Relationship Id="rId3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MEMS-Microphones_ZILLTEK-ZTS6117_C481300.html" TargetMode="External"/><Relationship Id="rId17" Type="http://schemas.openxmlformats.org/officeDocument/2006/relationships/hyperlink" Target="https://www.lcsc.com/product-detail/Chip-Resistor-Surface-Mount_YAGEO-RT0603BRD0722KL_C469656.html" TargetMode="External"/><Relationship Id="rId25" Type="http://schemas.openxmlformats.org/officeDocument/2006/relationships/hyperlink" Target="https://www.lcsc.com/product-detail/Chip-Resistor-Surface-Mount_YAGEO-RT0603BRD078K2L_C861589.html" TargetMode="External"/><Relationship Id="rId33" Type="http://schemas.openxmlformats.org/officeDocument/2006/relationships/hyperlink" Target="https://www.lcsc.com/product-detail/Chip-Resistor-Surface-Mount_YAGEO-RT0402BRD07806RL_C852922.html" TargetMode="External"/><Relationship Id="rId38" Type="http://schemas.openxmlformats.org/officeDocument/2006/relationships/hyperlink" Target="https://www.lcsc.com/product-detail/Chip-Resistor-Surface-Mount_Viking-Tech-ARG05BTC5000_C2828711.html" TargetMode="External"/><Relationship Id="rId46" Type="http://schemas.openxmlformats.org/officeDocument/2006/relationships/hyperlink" Target="https://www.lcsc.com/product-detail/Multilayer-Ceramic-Capacitors-MLCC-SMD-SMT_Murata-Electronics-GRM31CR61E476ME44L_C403725.html" TargetMode="External"/><Relationship Id="rId20" Type="http://schemas.openxmlformats.org/officeDocument/2006/relationships/hyperlink" Target="https://www.lcsc.com/product-detail/Chip-Resistor-Surface-Mount_Viking-Tech-ARG03FTC8002N_C3014409.html" TargetMode="External"/><Relationship Id="rId41" Type="http://schemas.openxmlformats.org/officeDocument/2006/relationships/hyperlink" Target="https://www.lcsc.com/product-detail/Chip-Resistor-Surface-Mount_YAGEO-RT0603BRD0747KL_C326725.html" TargetMode="External"/><Relationship Id="rId1" Type="http://schemas.openxmlformats.org/officeDocument/2006/relationships/hyperlink" Target="https://www.lcsc.com/product-detail/Multilayer-Ceramic-Capacitors-MLCC-SMD-SMT_Samsung-Electro-Mechanics-CL10B104KB8NNNL_C913912.html" TargetMode="External"/><Relationship Id="rId6" Type="http://schemas.openxmlformats.org/officeDocument/2006/relationships/hyperlink" Target="https://www.lcsc.com/product-detail/Multilayer-Ceramic-Capacitors-MLCC-SMD-SMT_Murata-Electronics-GCM155R72A472KA01D_C2980803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csc.com/product-detail/Chip-Resistor-Surface-Mount_YAGEO-RT0603BRD0710KL_C95204.html" TargetMode="External"/><Relationship Id="rId18" Type="http://schemas.openxmlformats.org/officeDocument/2006/relationships/hyperlink" Target="https://www.lcsc.com/product-detail/Chip-Resistor-Surface-Mount_YAGEO-RT0603BRD071K8L_C705745.html" TargetMode="External"/><Relationship Id="rId26" Type="http://schemas.openxmlformats.org/officeDocument/2006/relationships/hyperlink" Target="https://www.lcsc.com/product-detail/Chip-Resistor-Surface-Mount_YAGEO-RC0402FR-074K02L_C137968.html" TargetMode="External"/><Relationship Id="rId39" Type="http://schemas.openxmlformats.org/officeDocument/2006/relationships/hyperlink" Target="https://www.lcsc.com/product-detail/Chip-Resistor-Surface-Mount_YAGEO-RT0402BRD07453RL_C852794.html" TargetMode="External"/><Relationship Id="rId21" Type="http://schemas.openxmlformats.org/officeDocument/2006/relationships/hyperlink" Target="https://www.lcsc.com/product-detail/Chip-Resistor-Surface-Mount_Viking-Tech-AR05BTC4002_C5266069.html" TargetMode="External"/><Relationship Id="rId34" Type="http://schemas.openxmlformats.org/officeDocument/2006/relationships/hyperlink" Target="https://www.lcsc.com/product-detail/Chip-Resistor-Surface-Mount_YAGEO-RT0603BRD0713K3L_C861117.html" TargetMode="External"/><Relationship Id="rId42" Type="http://schemas.openxmlformats.org/officeDocument/2006/relationships/hyperlink" Target="https://www.lcsc.com/product-detail/DIP-Switches_XKB-Connectivity-DSIC05LS-P_C319036.html" TargetMode="External"/><Relationship Id="rId47" Type="http://schemas.openxmlformats.org/officeDocument/2006/relationships/hyperlink" Target="https://www.lcsc.com/product-detail/Multilayer-Ceramic-Capacitors-MLCC-SMD-SMT_Walsin-Tech-Corp-0402N330K250CT_C387979.html" TargetMode="External"/><Relationship Id="rId50" Type="http://schemas.openxmlformats.org/officeDocument/2006/relationships/hyperlink" Target="https://www.lcsc.com/product-detail/Variable-Resistors-Potentiometers_BOCHEN-Chengdu-Guosheng-Tech-3296W-1-504_C330437.html" TargetMode="External"/><Relationship Id="rId7" Type="http://schemas.openxmlformats.org/officeDocument/2006/relationships/hyperlink" Target="https://www.lcsc.com/product-detail/Multilayer-Ceramic-Capacitors-MLCC-SMD-SMT_Murata-Electronics-GRM31C5C1H104FA01L_C2981728.html" TargetMode="External"/><Relationship Id="rId2" Type="http://schemas.openxmlformats.org/officeDocument/2006/relationships/hyperlink" Target="https://www.lcsc.com/product-detail/Multilayer-Ceramic-Capacitors-MLCC-SMD-SMT_Taiyo-Yuden-UMK107AB7105KA-T_C105174.html" TargetMode="External"/><Relationship Id="rId16" Type="http://schemas.openxmlformats.org/officeDocument/2006/relationships/hyperlink" Target="https://www.lcsc.com/product-detail/Chip-Resistor-Surface-Mount_YAGEO-RT0603BRD073K3L_C309653.html" TargetMode="External"/><Relationship Id="rId29" Type="http://schemas.openxmlformats.org/officeDocument/2006/relationships/hyperlink" Target="https://www.lcsc.com/product-detail/Chip-Resistor-Surface-Mount_YAGEO-RT0402BRD071K6L_C852616.html" TargetMode="External"/><Relationship Id="rId11" Type="http://schemas.openxmlformats.org/officeDocument/2006/relationships/hyperlink" Target="https://www.lcsc.com/product-detail/Pin-Headers_BOOMELE-Boom-Precision-Elec-C49257_C49257.html" TargetMode="External"/><Relationship Id="rId24" Type="http://schemas.openxmlformats.org/officeDocument/2006/relationships/hyperlink" Target="https://www.lcsc.com/product-detail/Chip-Resistor-Surface-Mount_YAGEO-RC0603DR-0716KL_C327136.html" TargetMode="External"/><Relationship Id="rId32" Type="http://schemas.openxmlformats.org/officeDocument/2006/relationships/hyperlink" Target="https://www.lcsc.com/product-detail/Chip-Resistor-Surface-Mount_Viking-Tech-ARG05BTC9000N_C2828704.html" TargetMode="External"/><Relationship Id="rId37" Type="http://schemas.openxmlformats.org/officeDocument/2006/relationships/hyperlink" Target="https://www.lcsc.com/product-detail/Chip-Resistor-Surface-Mount_Viking-Tech-ARG02BTC5490_C2684524.html" TargetMode="External"/><Relationship Id="rId40" Type="http://schemas.openxmlformats.org/officeDocument/2006/relationships/hyperlink" Target="https://www.lcsc.com/product-detail/Chip-Resistor-Surface-Mount_Viking-Tech-ARG03BTC4020_C2683044.html" TargetMode="External"/><Relationship Id="rId45" Type="http://schemas.openxmlformats.org/officeDocument/2006/relationships/hyperlink" Target="https://www.lcsc.com/product-detail/Multilayer-Ceramic-Capacitors-MLCC-SMD-SMT_YAGEO-CC0603KRX7R0BB223_C313105.html" TargetMode="External"/><Relationship Id="rId53" Type="http://schemas.openxmlformats.org/officeDocument/2006/relationships/drawing" Target="../drawings/drawing3.xml"/><Relationship Id="rId5" Type="http://schemas.openxmlformats.org/officeDocument/2006/relationships/hyperlink" Target="https://www.lcsc.com/product-detail/Aluminum-Electrolytic-Capacitors-SMD_DMBJ-RVT1E100M0405_C970655.html" TargetMode="External"/><Relationship Id="rId10" Type="http://schemas.openxmlformats.org/officeDocument/2006/relationships/hyperlink" Target="https://www.lcsc.com/product-detail/Pin-Headers_MOLEX-22284020_C234182.html" TargetMode="External"/><Relationship Id="rId19" Type="http://schemas.openxmlformats.org/officeDocument/2006/relationships/hyperlink" Target="https://www.lcsc.com/product-detail/Chip-Resistor-Surface-Mount_YAGEO-RT0603BRE07270RL_C705836.html" TargetMode="External"/><Relationship Id="rId31" Type="http://schemas.openxmlformats.org/officeDocument/2006/relationships/hyperlink" Target="https://www.lcsc.com/product-detail/Chip-Resistor-Surface-Mount_YAGEO-RT0603BRD071K1L_C705736.html" TargetMode="External"/><Relationship Id="rId44" Type="http://schemas.openxmlformats.org/officeDocument/2006/relationships/hyperlink" Target="https://www.lcsc.com/product-detail/Multilayer-Ceramic-Capacitors-MLCC-SMD-SMT_Walsin-Tech-Corp-0402B122K250CT_C458850.html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www.lcsc.com/product-detail/Multilayer-Ceramic-Capacitors-MLCC-SMD-SMT_YAGEO-CC0603JRNPO9BN472_C576818.html" TargetMode="External"/><Relationship Id="rId9" Type="http://schemas.openxmlformats.org/officeDocument/2006/relationships/hyperlink" Target="https://www.lcsc.com/product-detail/Multilayer-Ceramic-Capacitors-MLCC-SMD-SMT_Murata-Electronics-GRM188R6YA225KA12D_C86017.html" TargetMode="External"/><Relationship Id="rId14" Type="http://schemas.openxmlformats.org/officeDocument/2006/relationships/hyperlink" Target="https://www.lcsc.com/product-detail/Variable-Resistors-Potentiometers_HDK-Hokuriku-Elec-Industry-VG039NCHXTB504_C128558.html" TargetMode="External"/><Relationship Id="rId22" Type="http://schemas.openxmlformats.org/officeDocument/2006/relationships/hyperlink" Target="https://www.lcsc.com/product-detail/Chip-Resistor-Surface-Mount_Viking-Tech-ARG02BTC2702_C5266105.html" TargetMode="External"/><Relationship Id="rId27" Type="http://schemas.openxmlformats.org/officeDocument/2006/relationships/hyperlink" Target="https://www.lcsc.com/product-detail/Chip-Resistor-Surface-Mount_YAGEO-RC0603FR-072K7L_C114612.html" TargetMode="External"/><Relationship Id="rId30" Type="http://schemas.openxmlformats.org/officeDocument/2006/relationships/hyperlink" Target="https://www.lcsc.com/product-detail/Chip-Resistor-Surface-Mount_Viking-Tech-AR03BTCX1301_C2984321.html" TargetMode="External"/><Relationship Id="rId35" Type="http://schemas.openxmlformats.org/officeDocument/2006/relationships/hyperlink" Target="https://www.lcsc.com/product-detail/Chip-Resistor-Surface-Mount_FOJAN-FRC0805F9802TS_C2933514.html" TargetMode="External"/><Relationship Id="rId43" Type="http://schemas.openxmlformats.org/officeDocument/2006/relationships/hyperlink" Target="https://www.lcsc.com/product-detail/Operational-Amplifier_STMicroelectronics-LM2904DT_C105411.html" TargetMode="External"/><Relationship Id="rId48" Type="http://schemas.openxmlformats.org/officeDocument/2006/relationships/hyperlink" Target="https://www.lcsc.com/product-detail/Multilayer-Ceramic-Capacitors-MLCC-SMD-SMT_PSA-Prosperity-Dielectrics-FN18X473K500PBG_C525277.html" TargetMode="External"/><Relationship Id="rId8" Type="http://schemas.openxmlformats.org/officeDocument/2006/relationships/hyperlink" Target="https://www.lcsc.com/product-detail/Multilayer-Ceramic-Capacitors-MLCC-SMD-SMT_HUI-JU-NL0805B204K500CPBN_C918135.html" TargetMode="External"/><Relationship Id="rId51" Type="http://schemas.openxmlformats.org/officeDocument/2006/relationships/hyperlink" Target="https://www.lcsc.com/product-detail/Variable-Resistors-Potentiometers_BOURNS-TC33X-2-104E_C719186.html" TargetMode="External"/><Relationship Id="rId3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MEMS-Microphones_ZILLTEK-ZTS6117_C481300.html" TargetMode="External"/><Relationship Id="rId17" Type="http://schemas.openxmlformats.org/officeDocument/2006/relationships/hyperlink" Target="https://www.lcsc.com/product-detail/Chip-Resistor-Surface-Mount_YAGEO-RT0603BRD0722KL_C469656.html" TargetMode="External"/><Relationship Id="rId25" Type="http://schemas.openxmlformats.org/officeDocument/2006/relationships/hyperlink" Target="https://www.lcsc.com/product-detail/Chip-Resistor-Surface-Mount_YAGEO-RT0603BRD078K2L_C861589.html" TargetMode="External"/><Relationship Id="rId33" Type="http://schemas.openxmlformats.org/officeDocument/2006/relationships/hyperlink" Target="https://www.lcsc.com/product-detail/Chip-Resistor-Surface-Mount_YAGEO-RT0402BRD07806RL_C852922.html" TargetMode="External"/><Relationship Id="rId38" Type="http://schemas.openxmlformats.org/officeDocument/2006/relationships/hyperlink" Target="https://www.lcsc.com/product-detail/Chip-Resistor-Surface-Mount_Viking-Tech-ARG05BTC5000_C2828711.html" TargetMode="External"/><Relationship Id="rId46" Type="http://schemas.openxmlformats.org/officeDocument/2006/relationships/hyperlink" Target="https://www.lcsc.com/product-detail/Multilayer-Ceramic-Capacitors-MLCC-SMD-SMT_Murata-Electronics-GRM31CR61E476ME44L_C403725.html" TargetMode="External"/><Relationship Id="rId20" Type="http://schemas.openxmlformats.org/officeDocument/2006/relationships/hyperlink" Target="https://www.lcsc.com/product-detail/Chip-Resistor-Surface-Mount_Viking-Tech-ARG03FTC8002N_C3014409.html" TargetMode="External"/><Relationship Id="rId41" Type="http://schemas.openxmlformats.org/officeDocument/2006/relationships/hyperlink" Target="https://www.lcsc.com/product-detail/Chip-Resistor-Surface-Mount_YAGEO-RT0603BRD0747KL_C326725.html" TargetMode="External"/><Relationship Id="rId1" Type="http://schemas.openxmlformats.org/officeDocument/2006/relationships/hyperlink" Target="https://www.lcsc.com/product-detail/Multilayer-Ceramic-Capacitors-MLCC-SMD-SMT_Samsung-Electro-Mechanics-CL10B104KB8NNNL_C913912.html" TargetMode="External"/><Relationship Id="rId6" Type="http://schemas.openxmlformats.org/officeDocument/2006/relationships/hyperlink" Target="https://www.lcsc.com/product-detail/Multilayer-Ceramic-Capacitors-MLCC-SMD-SMT_Murata-Electronics-GCM155R72A472KA01D_C2980803.html" TargetMode="External"/><Relationship Id="rId15" Type="http://schemas.openxmlformats.org/officeDocument/2006/relationships/hyperlink" Target="https://www.lcsc.com/product-detail/Chip-Resistor-Surface-Mount_YAGEO-RT0603BRD071KL_C110776.html" TargetMode="External"/><Relationship Id="rId23" Type="http://schemas.openxmlformats.org/officeDocument/2006/relationships/hyperlink" Target="https://www.lcsc.com/product-detail/Chip-Resistor-Surface-Mount_Viking-Tech-AR03BTCX2002_C319766.html" TargetMode="External"/><Relationship Id="rId28" Type="http://schemas.openxmlformats.org/officeDocument/2006/relationships/hyperlink" Target="https://www.lcsc.com/product-detail/Chip-Resistor-Surface-Mount_Viking-Tech-AR03BTCX2001_C318130.html" TargetMode="External"/><Relationship Id="rId36" Type="http://schemas.openxmlformats.org/officeDocument/2006/relationships/hyperlink" Target="https://www.lcsc.com/product-detail/Chip-Resistor-Surface-Mount_YAGEO-RT0805BRD07649RL_C865602.html" TargetMode="External"/><Relationship Id="rId49" Type="http://schemas.openxmlformats.org/officeDocument/2006/relationships/hyperlink" Target="https://www.lcsc.com/product-detail/Variable-Resistors-Potentiometers_BOCHEN-Chengdu-Guosheng-Tech-3296W-1-104_C33043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abSelected="1" topLeftCell="A52" workbookViewId="0">
      <selection activeCell="J70" sqref="J70"/>
    </sheetView>
  </sheetViews>
  <sheetFormatPr defaultRowHeight="15" x14ac:dyDescent="0.25"/>
  <cols>
    <col min="2" max="2" width="3" bestFit="1" customWidth="1"/>
    <col min="3" max="3" width="13" customWidth="1"/>
    <col min="4" max="4" width="18.5703125" customWidth="1"/>
    <col min="5" max="5" width="27.85546875" customWidth="1"/>
    <col min="6" max="6" width="12.7109375" customWidth="1"/>
    <col min="7" max="7" width="25.28515625" bestFit="1" customWidth="1"/>
    <col min="8" max="8" width="17.5703125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5.140625" bestFit="1" customWidth="1"/>
    <col min="14" max="14" width="5.42578125" bestFit="1" customWidth="1"/>
    <col min="15" max="15" width="18.7109375" bestFit="1" customWidth="1"/>
    <col min="16" max="16" width="19.28515625" bestFit="1" customWidth="1"/>
    <col min="17" max="17" width="8.5703125" bestFit="1" customWidth="1"/>
    <col min="18" max="18" width="26" customWidth="1"/>
  </cols>
  <sheetData>
    <row r="1" spans="1:18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2"/>
      <c r="L1" s="92"/>
      <c r="M1" s="92"/>
      <c r="N1" s="92"/>
      <c r="O1" s="92"/>
      <c r="P1" s="92"/>
      <c r="Q1" s="92"/>
      <c r="R1" s="93"/>
    </row>
    <row r="2" spans="1:18" ht="32.25" thickBot="1" x14ac:dyDescent="0.3">
      <c r="A2" s="1"/>
      <c r="B2" s="21"/>
      <c r="C2" s="31"/>
      <c r="D2" s="11" t="s">
        <v>0</v>
      </c>
      <c r="E2" s="11"/>
      <c r="F2" s="55" t="s">
        <v>284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3"/>
    </row>
    <row r="3" spans="1:18" x14ac:dyDescent="0.25">
      <c r="A3" s="1"/>
      <c r="B3" s="22"/>
      <c r="C3" s="81"/>
      <c r="D3" s="82" t="s">
        <v>1</v>
      </c>
      <c r="E3" s="82"/>
      <c r="F3" s="83" t="s">
        <v>285</v>
      </c>
      <c r="G3" s="82"/>
      <c r="H3" s="84"/>
      <c r="I3" s="82"/>
      <c r="J3" s="84"/>
      <c r="K3" s="84"/>
      <c r="L3" s="84"/>
      <c r="M3" s="84"/>
      <c r="N3" s="84"/>
      <c r="O3" s="84"/>
      <c r="P3" s="84"/>
      <c r="Q3" s="84"/>
      <c r="R3" s="94"/>
    </row>
    <row r="4" spans="1:18" x14ac:dyDescent="0.25">
      <c r="A4" s="1"/>
      <c r="B4" s="22"/>
      <c r="C4" s="81"/>
      <c r="D4" s="82" t="s">
        <v>2</v>
      </c>
      <c r="E4" s="82"/>
      <c r="F4" s="57" t="s">
        <v>285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95"/>
    </row>
    <row r="5" spans="1:18" x14ac:dyDescent="0.25">
      <c r="A5" s="1"/>
      <c r="B5" s="22"/>
      <c r="C5" s="81"/>
      <c r="D5" s="82" t="s">
        <v>3</v>
      </c>
      <c r="E5" s="82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95"/>
    </row>
    <row r="6" spans="1:18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95"/>
    </row>
    <row r="7" spans="1:18" x14ac:dyDescent="0.25">
      <c r="A7" s="1"/>
      <c r="B7" s="24"/>
      <c r="C7" s="85"/>
      <c r="D7" s="86"/>
      <c r="E7" s="86"/>
      <c r="F7" s="19"/>
      <c r="G7" s="86"/>
      <c r="H7" s="87"/>
      <c r="I7" s="86"/>
      <c r="J7" s="87"/>
      <c r="K7" s="87"/>
      <c r="L7" s="87"/>
      <c r="M7" s="87"/>
      <c r="N7" s="87"/>
      <c r="O7" s="87"/>
      <c r="P7" s="87"/>
      <c r="Q7" s="87"/>
      <c r="R7" s="95"/>
    </row>
    <row r="8" spans="1:18" ht="15.75" thickBot="1" x14ac:dyDescent="0.3">
      <c r="A8" s="1"/>
      <c r="B8" s="27"/>
      <c r="C8" s="88"/>
      <c r="D8" s="89"/>
      <c r="E8" s="89"/>
      <c r="F8" s="90"/>
      <c r="G8" s="86"/>
      <c r="H8" s="87"/>
      <c r="I8" s="86"/>
      <c r="J8" s="87"/>
      <c r="K8" s="87"/>
      <c r="L8" s="87"/>
      <c r="M8" s="87"/>
      <c r="N8" s="87"/>
      <c r="O8" s="87"/>
      <c r="P8" s="87"/>
      <c r="Q8" s="87"/>
      <c r="R8" s="95"/>
    </row>
    <row r="9" spans="1:18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65</v>
      </c>
      <c r="F9" s="30" t="s">
        <v>116</v>
      </c>
      <c r="G9" s="30" t="s">
        <v>128</v>
      </c>
      <c r="H9" s="30" t="s">
        <v>178</v>
      </c>
      <c r="I9" s="30" t="s">
        <v>286</v>
      </c>
      <c r="J9" s="30" t="s">
        <v>197</v>
      </c>
      <c r="K9" s="30" t="s">
        <v>287</v>
      </c>
      <c r="L9" s="30" t="s">
        <v>283</v>
      </c>
      <c r="M9" s="30" t="s">
        <v>325</v>
      </c>
      <c r="N9" s="30" t="s">
        <v>290</v>
      </c>
      <c r="O9" s="30" t="s">
        <v>326</v>
      </c>
      <c r="P9" s="30" t="s">
        <v>327</v>
      </c>
      <c r="Q9" s="30" t="s">
        <v>293</v>
      </c>
      <c r="R9" s="30" t="s">
        <v>294</v>
      </c>
    </row>
    <row r="10" spans="1:18" s="68" customFormat="1" x14ac:dyDescent="0.25">
      <c r="A10" s="66"/>
      <c r="B10" s="46">
        <f>ROW(B10) - ROW($B$9)</f>
        <v>1</v>
      </c>
      <c r="C10" s="54" t="s">
        <v>9</v>
      </c>
      <c r="D10" s="79" t="s">
        <v>17</v>
      </c>
      <c r="E10" s="37" t="s">
        <v>66</v>
      </c>
      <c r="F10" s="37" t="s">
        <v>117</v>
      </c>
      <c r="G10" s="37" t="s">
        <v>129</v>
      </c>
      <c r="H10" s="37" t="s">
        <v>179</v>
      </c>
      <c r="I10" s="37" t="s">
        <v>298</v>
      </c>
      <c r="J10" s="37" t="s">
        <v>198</v>
      </c>
      <c r="K10" s="37" t="s">
        <v>240</v>
      </c>
      <c r="L10" s="37">
        <v>4</v>
      </c>
      <c r="M10" s="37">
        <v>100</v>
      </c>
      <c r="N10" s="63" t="s">
        <v>297</v>
      </c>
      <c r="O10" s="38">
        <v>6.0000000000000001E-3</v>
      </c>
      <c r="P10" s="38">
        <f>O10*M10</f>
        <v>0.6</v>
      </c>
      <c r="Q10" s="37"/>
      <c r="R10" s="67"/>
    </row>
    <row r="11" spans="1:18" s="68" customFormat="1" x14ac:dyDescent="0.25">
      <c r="A11" s="66"/>
      <c r="B11" s="47">
        <f t="shared" ref="B11:B61" si="0">ROW(B11) - ROW($B$9)</f>
        <v>2</v>
      </c>
      <c r="C11" s="54" t="s">
        <v>9</v>
      </c>
      <c r="D11" s="80" t="s">
        <v>18</v>
      </c>
      <c r="E11" s="51" t="s">
        <v>67</v>
      </c>
      <c r="F11" s="51" t="s">
        <v>118</v>
      </c>
      <c r="G11" s="51" t="s">
        <v>130</v>
      </c>
      <c r="H11" s="51" t="s">
        <v>180</v>
      </c>
      <c r="I11" s="51" t="s">
        <v>298</v>
      </c>
      <c r="J11" s="51" t="s">
        <v>199</v>
      </c>
      <c r="K11" s="51" t="s">
        <v>241</v>
      </c>
      <c r="L11" s="51">
        <v>4</v>
      </c>
      <c r="M11" s="51">
        <v>20</v>
      </c>
      <c r="N11" s="64" t="s">
        <v>297</v>
      </c>
      <c r="O11" s="52">
        <v>2.8899999999999999E-2</v>
      </c>
      <c r="P11" s="52">
        <f t="shared" ref="P11" si="1">O11*M11</f>
        <v>0.57799999999999996</v>
      </c>
      <c r="Q11" s="51"/>
      <c r="R11" s="51"/>
    </row>
    <row r="12" spans="1:18" s="68" customFormat="1" x14ac:dyDescent="0.25">
      <c r="A12" s="66"/>
      <c r="B12" s="46">
        <f>ROW(B12) - ROW($B$9)</f>
        <v>3</v>
      </c>
      <c r="C12" s="53" t="s">
        <v>9</v>
      </c>
      <c r="D12" s="79" t="s">
        <v>19</v>
      </c>
      <c r="E12" s="37" t="s">
        <v>68</v>
      </c>
      <c r="F12" s="37" t="s">
        <v>118</v>
      </c>
      <c r="G12" s="37" t="s">
        <v>131</v>
      </c>
      <c r="H12" s="37" t="s">
        <v>181</v>
      </c>
      <c r="I12" s="37" t="s">
        <v>298</v>
      </c>
      <c r="J12" s="37" t="s">
        <v>200</v>
      </c>
      <c r="K12" s="37" t="s">
        <v>242</v>
      </c>
      <c r="L12" s="37">
        <v>1</v>
      </c>
      <c r="M12" s="37">
        <v>50</v>
      </c>
      <c r="N12" s="63" t="s">
        <v>297</v>
      </c>
      <c r="O12" s="38">
        <v>8.5000000000000006E-3</v>
      </c>
      <c r="P12" s="38">
        <f>O12*M12</f>
        <v>0.42500000000000004</v>
      </c>
      <c r="Q12" s="37"/>
      <c r="R12" s="59"/>
    </row>
    <row r="13" spans="1:18" s="68" customFormat="1" x14ac:dyDescent="0.25">
      <c r="A13" s="66"/>
      <c r="B13" s="47">
        <f t="shared" si="0"/>
        <v>4</v>
      </c>
      <c r="C13" s="54" t="s">
        <v>9</v>
      </c>
      <c r="D13" s="80" t="s">
        <v>20</v>
      </c>
      <c r="E13" s="51" t="s">
        <v>69</v>
      </c>
      <c r="F13" s="51" t="s">
        <v>118</v>
      </c>
      <c r="G13" s="60" t="s">
        <v>132</v>
      </c>
      <c r="H13" s="51" t="s">
        <v>182</v>
      </c>
      <c r="I13" s="51" t="s">
        <v>307</v>
      </c>
      <c r="J13" s="51" t="s">
        <v>308</v>
      </c>
      <c r="K13" s="51" t="s">
        <v>243</v>
      </c>
      <c r="L13" s="51">
        <v>1</v>
      </c>
      <c r="M13" s="51">
        <v>100</v>
      </c>
      <c r="N13" s="64" t="s">
        <v>297</v>
      </c>
      <c r="O13" s="52">
        <v>3.0000000000000001E-3</v>
      </c>
      <c r="P13" s="52">
        <f t="shared" ref="P13" si="2">O13*M13</f>
        <v>0.3</v>
      </c>
      <c r="Q13" s="51"/>
      <c r="R13" s="59"/>
    </row>
    <row r="14" spans="1:18" s="68" customFormat="1" x14ac:dyDescent="0.25">
      <c r="A14" s="66"/>
      <c r="B14" s="46">
        <f>ROW(B14) - ROW($B$9)</f>
        <v>5</v>
      </c>
      <c r="C14" s="53" t="s">
        <v>9</v>
      </c>
      <c r="D14" s="79" t="s">
        <v>21</v>
      </c>
      <c r="E14" s="37" t="s">
        <v>70</v>
      </c>
      <c r="F14" s="37" t="s">
        <v>118</v>
      </c>
      <c r="G14" s="37" t="s">
        <v>133</v>
      </c>
      <c r="H14" s="37" t="s">
        <v>181</v>
      </c>
      <c r="I14" s="37" t="s">
        <v>298</v>
      </c>
      <c r="J14" s="37" t="s">
        <v>201</v>
      </c>
      <c r="K14" s="37" t="s">
        <v>244</v>
      </c>
      <c r="L14" s="37">
        <v>1</v>
      </c>
      <c r="M14" s="37">
        <v>20</v>
      </c>
      <c r="N14" s="63" t="s">
        <v>297</v>
      </c>
      <c r="O14" s="38">
        <v>2.1700000000000001E-2</v>
      </c>
      <c r="P14" s="38">
        <f>O14*M14</f>
        <v>0.434</v>
      </c>
      <c r="Q14" s="37"/>
      <c r="R14" s="59"/>
    </row>
    <row r="15" spans="1:18" s="68" customFormat="1" x14ac:dyDescent="0.25">
      <c r="A15" s="66"/>
      <c r="B15" s="47">
        <f t="shared" si="0"/>
        <v>6</v>
      </c>
      <c r="C15" s="54" t="s">
        <v>9</v>
      </c>
      <c r="D15" s="80" t="s">
        <v>22</v>
      </c>
      <c r="E15" s="51" t="s">
        <v>71</v>
      </c>
      <c r="F15" s="51" t="s">
        <v>295</v>
      </c>
      <c r="G15" s="51" t="s">
        <v>134</v>
      </c>
      <c r="H15" s="51" t="s">
        <v>183</v>
      </c>
      <c r="I15" s="51" t="s">
        <v>298</v>
      </c>
      <c r="J15" s="51" t="s">
        <v>202</v>
      </c>
      <c r="K15" s="51" t="s">
        <v>245</v>
      </c>
      <c r="L15" s="51">
        <v>2</v>
      </c>
      <c r="M15" s="51">
        <v>20</v>
      </c>
      <c r="N15" s="64" t="s">
        <v>297</v>
      </c>
      <c r="O15" s="52">
        <v>2.7900000000000001E-2</v>
      </c>
      <c r="P15" s="52">
        <f t="shared" ref="P15" si="3">O15*M15</f>
        <v>0.55800000000000005</v>
      </c>
      <c r="Q15" s="51"/>
      <c r="R15" s="59"/>
    </row>
    <row r="16" spans="1:18" s="68" customFormat="1" x14ac:dyDescent="0.25">
      <c r="A16" s="66"/>
      <c r="B16" s="46">
        <f>ROW(B16) - ROW($B$9)</f>
        <v>7</v>
      </c>
      <c r="C16" s="54" t="s">
        <v>9</v>
      </c>
      <c r="D16" s="79" t="s">
        <v>23</v>
      </c>
      <c r="E16" s="37" t="s">
        <v>72</v>
      </c>
      <c r="F16" s="37" t="s">
        <v>118</v>
      </c>
      <c r="G16" s="65" t="s">
        <v>135</v>
      </c>
      <c r="H16" s="37" t="s">
        <v>182</v>
      </c>
      <c r="I16" s="37" t="s">
        <v>302</v>
      </c>
      <c r="J16" s="37" t="s">
        <v>301</v>
      </c>
      <c r="K16" s="37" t="s">
        <v>246</v>
      </c>
      <c r="L16" s="37">
        <v>1</v>
      </c>
      <c r="M16" s="37">
        <v>50</v>
      </c>
      <c r="N16" s="63" t="s">
        <v>297</v>
      </c>
      <c r="O16" s="38">
        <v>8.9999999999999993E-3</v>
      </c>
      <c r="P16" s="38">
        <f>O16*M16</f>
        <v>0.44999999999999996</v>
      </c>
      <c r="Q16" s="37"/>
      <c r="R16" s="59"/>
    </row>
    <row r="17" spans="1:18" s="68" customFormat="1" ht="36" x14ac:dyDescent="0.25">
      <c r="A17" s="66"/>
      <c r="B17" s="47">
        <f t="shared" si="0"/>
        <v>8</v>
      </c>
      <c r="C17" s="54" t="s">
        <v>9</v>
      </c>
      <c r="D17" s="80" t="s">
        <v>24</v>
      </c>
      <c r="E17" s="51" t="s">
        <v>73</v>
      </c>
      <c r="F17" s="51" t="s">
        <v>119</v>
      </c>
      <c r="G17" s="51" t="s">
        <v>136</v>
      </c>
      <c r="H17" s="51" t="s">
        <v>184</v>
      </c>
      <c r="I17" s="51" t="s">
        <v>298</v>
      </c>
      <c r="J17" s="51" t="s">
        <v>203</v>
      </c>
      <c r="K17" s="51" t="s">
        <v>247</v>
      </c>
      <c r="L17" s="51">
        <v>1</v>
      </c>
      <c r="M17" s="51">
        <v>50</v>
      </c>
      <c r="N17" s="64" t="s">
        <v>297</v>
      </c>
      <c r="O17" s="52">
        <v>9.1999999999999998E-3</v>
      </c>
      <c r="P17" s="52">
        <f t="shared" ref="P17" si="4">O17*M17</f>
        <v>0.45999999999999996</v>
      </c>
      <c r="Q17" s="51"/>
      <c r="R17" s="59"/>
    </row>
    <row r="18" spans="1:18" s="68" customFormat="1" x14ac:dyDescent="0.25">
      <c r="A18" s="66"/>
      <c r="B18" s="46">
        <f>ROW(B18) - ROW($B$9)</f>
        <v>9</v>
      </c>
      <c r="C18" s="54" t="s">
        <v>9</v>
      </c>
      <c r="D18" s="79" t="s">
        <v>25</v>
      </c>
      <c r="E18" s="37" t="s">
        <v>74</v>
      </c>
      <c r="F18" s="37" t="s">
        <v>119</v>
      </c>
      <c r="G18" s="65" t="s">
        <v>137</v>
      </c>
      <c r="H18" s="37" t="s">
        <v>185</v>
      </c>
      <c r="I18" s="37" t="s">
        <v>299</v>
      </c>
      <c r="J18" s="37" t="s">
        <v>300</v>
      </c>
      <c r="K18" s="37" t="s">
        <v>248</v>
      </c>
      <c r="L18" s="37">
        <v>1</v>
      </c>
      <c r="M18" s="37">
        <v>100</v>
      </c>
      <c r="N18" s="63" t="s">
        <v>297</v>
      </c>
      <c r="O18" s="38">
        <v>3.8E-3</v>
      </c>
      <c r="P18" s="38">
        <f>O18*M18</f>
        <v>0.38</v>
      </c>
      <c r="Q18" s="37"/>
      <c r="R18" s="59"/>
    </row>
    <row r="19" spans="1:18" s="68" customFormat="1" ht="36" x14ac:dyDescent="0.25">
      <c r="A19" s="66"/>
      <c r="B19" s="47">
        <f t="shared" si="0"/>
        <v>10</v>
      </c>
      <c r="C19" s="54" t="s">
        <v>9</v>
      </c>
      <c r="D19" s="80" t="s">
        <v>26</v>
      </c>
      <c r="E19" s="51" t="s">
        <v>75</v>
      </c>
      <c r="F19" s="51" t="s">
        <v>120</v>
      </c>
      <c r="G19" s="51" t="s">
        <v>138</v>
      </c>
      <c r="H19" s="51" t="s">
        <v>184</v>
      </c>
      <c r="I19" s="51" t="s">
        <v>298</v>
      </c>
      <c r="J19" s="51" t="s">
        <v>204</v>
      </c>
      <c r="K19" s="51" t="s">
        <v>240</v>
      </c>
      <c r="L19" s="51">
        <v>2</v>
      </c>
      <c r="M19" s="51">
        <v>3</v>
      </c>
      <c r="N19" s="64" t="s">
        <v>297</v>
      </c>
      <c r="O19" s="52">
        <v>0.41370000000000001</v>
      </c>
      <c r="P19" s="52">
        <f t="shared" ref="P19" si="5">O19*M19</f>
        <v>1.2411000000000001</v>
      </c>
      <c r="Q19" s="51"/>
      <c r="R19" s="59"/>
    </row>
    <row r="20" spans="1:18" s="68" customFormat="1" ht="36" x14ac:dyDescent="0.25">
      <c r="A20" s="66"/>
      <c r="B20" s="46">
        <f>ROW(B20) - ROW($B$9)</f>
        <v>11</v>
      </c>
      <c r="C20" s="54" t="s">
        <v>9</v>
      </c>
      <c r="D20" s="79" t="s">
        <v>27</v>
      </c>
      <c r="E20" s="37" t="s">
        <v>76</v>
      </c>
      <c r="F20" s="37" t="s">
        <v>121</v>
      </c>
      <c r="G20" s="37" t="s">
        <v>139</v>
      </c>
      <c r="H20" s="37" t="s">
        <v>186</v>
      </c>
      <c r="I20" s="37" t="s">
        <v>298</v>
      </c>
      <c r="J20" s="37" t="s">
        <v>205</v>
      </c>
      <c r="K20" s="37" t="s">
        <v>249</v>
      </c>
      <c r="L20" s="37">
        <v>1</v>
      </c>
      <c r="M20" s="37">
        <v>50</v>
      </c>
      <c r="N20" s="63" t="s">
        <v>297</v>
      </c>
      <c r="O20" s="38">
        <v>1.29E-2</v>
      </c>
      <c r="P20" s="38">
        <f>O20*M20</f>
        <v>0.64500000000000002</v>
      </c>
      <c r="Q20" s="37"/>
      <c r="R20" s="59"/>
    </row>
    <row r="21" spans="1:18" s="68" customFormat="1" x14ac:dyDescent="0.25">
      <c r="A21" s="66"/>
      <c r="B21" s="47">
        <f t="shared" si="0"/>
        <v>12</v>
      </c>
      <c r="C21" s="54" t="s">
        <v>9</v>
      </c>
      <c r="D21" s="80" t="s">
        <v>28</v>
      </c>
      <c r="E21" s="51" t="s">
        <v>77</v>
      </c>
      <c r="F21" s="51" t="s">
        <v>120</v>
      </c>
      <c r="G21" s="65" t="s">
        <v>140</v>
      </c>
      <c r="H21" s="51" t="s">
        <v>182</v>
      </c>
      <c r="I21" s="51" t="s">
        <v>303</v>
      </c>
      <c r="J21" s="51" t="s">
        <v>304</v>
      </c>
      <c r="K21" s="51" t="s">
        <v>250</v>
      </c>
      <c r="L21" s="51">
        <v>1</v>
      </c>
      <c r="M21" s="51">
        <v>2</v>
      </c>
      <c r="N21" s="64" t="s">
        <v>297</v>
      </c>
      <c r="O21" s="52">
        <v>0.31819999999999998</v>
      </c>
      <c r="P21" s="52">
        <f t="shared" ref="P21" si="6">O21*M21</f>
        <v>0.63639999999999997</v>
      </c>
      <c r="Q21" s="51"/>
      <c r="R21" s="59"/>
    </row>
    <row r="22" spans="1:18" s="68" customFormat="1" x14ac:dyDescent="0.25">
      <c r="A22" s="66"/>
      <c r="B22" s="46">
        <f>ROW(B22) - ROW($B$9)</f>
        <v>13</v>
      </c>
      <c r="C22" s="54" t="s">
        <v>9</v>
      </c>
      <c r="D22" s="79" t="s">
        <v>29</v>
      </c>
      <c r="E22" s="37" t="s">
        <v>78</v>
      </c>
      <c r="F22" s="37" t="s">
        <v>119</v>
      </c>
      <c r="G22" s="65" t="s">
        <v>141</v>
      </c>
      <c r="H22" s="37" t="s">
        <v>187</v>
      </c>
      <c r="I22" s="37" t="s">
        <v>305</v>
      </c>
      <c r="J22" s="37" t="s">
        <v>306</v>
      </c>
      <c r="K22" s="37" t="s">
        <v>251</v>
      </c>
      <c r="L22" s="37">
        <v>1</v>
      </c>
      <c r="M22" s="37">
        <v>50</v>
      </c>
      <c r="N22" s="63" t="s">
        <v>297</v>
      </c>
      <c r="O22" s="38">
        <v>5.1000000000000004E-3</v>
      </c>
      <c r="P22" s="38">
        <f>O22*M22</f>
        <v>0.255</v>
      </c>
      <c r="Q22" s="37"/>
      <c r="R22" s="59"/>
    </row>
    <row r="23" spans="1:18" s="68" customFormat="1" x14ac:dyDescent="0.25">
      <c r="A23" s="66"/>
      <c r="B23" s="47">
        <f t="shared" si="0"/>
        <v>14</v>
      </c>
      <c r="C23" s="54" t="s">
        <v>9</v>
      </c>
      <c r="D23" s="80" t="s">
        <v>30</v>
      </c>
      <c r="E23" s="51" t="s">
        <v>79</v>
      </c>
      <c r="F23" s="51" t="s">
        <v>118</v>
      </c>
      <c r="G23" s="51" t="s">
        <v>142</v>
      </c>
      <c r="H23" s="51" t="s">
        <v>187</v>
      </c>
      <c r="I23" s="51" t="s">
        <v>298</v>
      </c>
      <c r="J23" s="51" t="s">
        <v>206</v>
      </c>
      <c r="K23" s="51" t="s">
        <v>252</v>
      </c>
      <c r="L23" s="51">
        <v>1</v>
      </c>
      <c r="M23" s="51">
        <v>10</v>
      </c>
      <c r="N23" s="64" t="s">
        <v>297</v>
      </c>
      <c r="O23" s="52">
        <v>6.9199999999999998E-2</v>
      </c>
      <c r="P23" s="52">
        <f t="shared" ref="P23" si="7">O23*M23</f>
        <v>0.69199999999999995</v>
      </c>
      <c r="Q23" s="51"/>
      <c r="R23" s="59"/>
    </row>
    <row r="24" spans="1:18" s="68" customFormat="1" ht="48" x14ac:dyDescent="0.25">
      <c r="A24" s="66"/>
      <c r="B24" s="46">
        <f>ROW(B24) - ROW($B$9)</f>
        <v>15</v>
      </c>
      <c r="C24" s="53" t="s">
        <v>10</v>
      </c>
      <c r="D24" s="79" t="s">
        <v>31</v>
      </c>
      <c r="E24" s="37" t="s">
        <v>80</v>
      </c>
      <c r="F24" s="37" t="s">
        <v>122</v>
      </c>
      <c r="G24" s="37" t="s">
        <v>143</v>
      </c>
      <c r="H24" s="37" t="s">
        <v>188</v>
      </c>
      <c r="I24" s="37" t="s">
        <v>298</v>
      </c>
      <c r="J24" s="37" t="s">
        <v>207</v>
      </c>
      <c r="K24" s="37" t="s">
        <v>298</v>
      </c>
      <c r="L24" s="37">
        <v>1</v>
      </c>
      <c r="M24" s="37">
        <v>5</v>
      </c>
      <c r="N24" s="63" t="s">
        <v>297</v>
      </c>
      <c r="O24" s="38">
        <v>8.3599999999999994E-2</v>
      </c>
      <c r="P24" s="38">
        <f>O24*M24</f>
        <v>0.41799999999999998</v>
      </c>
      <c r="Q24" s="37"/>
      <c r="R24" s="59"/>
    </row>
    <row r="25" spans="1:18" s="68" customFormat="1" ht="48" x14ac:dyDescent="0.25">
      <c r="A25" s="66"/>
      <c r="B25" s="47">
        <f t="shared" si="0"/>
        <v>16</v>
      </c>
      <c r="C25" s="54" t="s">
        <v>10</v>
      </c>
      <c r="D25" s="80" t="s">
        <v>32</v>
      </c>
      <c r="E25" s="51" t="s">
        <v>81</v>
      </c>
      <c r="F25" s="51" t="s">
        <v>123</v>
      </c>
      <c r="G25" s="51" t="s">
        <v>144</v>
      </c>
      <c r="H25" s="51" t="s">
        <v>189</v>
      </c>
      <c r="I25" s="51" t="s">
        <v>298</v>
      </c>
      <c r="J25" s="51" t="s">
        <v>144</v>
      </c>
      <c r="K25" s="51" t="s">
        <v>298</v>
      </c>
      <c r="L25" s="51">
        <v>1</v>
      </c>
      <c r="M25" s="51">
        <v>50</v>
      </c>
      <c r="N25" s="64" t="s">
        <v>297</v>
      </c>
      <c r="O25" s="52">
        <v>1.41E-2</v>
      </c>
      <c r="P25" s="52">
        <f t="shared" ref="P25" si="8">O25*M25</f>
        <v>0.70499999999999996</v>
      </c>
      <c r="Q25" s="51"/>
      <c r="R25" s="59"/>
    </row>
    <row r="26" spans="1:18" s="68" customFormat="1" ht="48" x14ac:dyDescent="0.25">
      <c r="A26" s="66"/>
      <c r="B26" s="46">
        <f>ROW(B26) - ROW($B$9)</f>
        <v>17</v>
      </c>
      <c r="C26" s="53" t="s">
        <v>11</v>
      </c>
      <c r="D26" s="79" t="s">
        <v>33</v>
      </c>
      <c r="E26" s="37" t="s">
        <v>82</v>
      </c>
      <c r="F26" s="37" t="s">
        <v>295</v>
      </c>
      <c r="G26" s="37" t="s">
        <v>145</v>
      </c>
      <c r="H26" s="37" t="s">
        <v>190</v>
      </c>
      <c r="I26" s="37" t="s">
        <v>298</v>
      </c>
      <c r="J26" s="37" t="s">
        <v>208</v>
      </c>
      <c r="K26" s="37" t="s">
        <v>298</v>
      </c>
      <c r="L26" s="37">
        <v>1</v>
      </c>
      <c r="M26" s="37">
        <v>2</v>
      </c>
      <c r="N26" s="63" t="s">
        <v>297</v>
      </c>
      <c r="O26" s="38">
        <v>0.17749999999999999</v>
      </c>
      <c r="P26" s="38">
        <f>O26*M26</f>
        <v>0.35499999999999998</v>
      </c>
      <c r="Q26" s="37"/>
      <c r="R26" s="59"/>
    </row>
    <row r="27" spans="1:18" s="68" customFormat="1" ht="36" x14ac:dyDescent="0.25">
      <c r="A27" s="66"/>
      <c r="B27" s="47">
        <f t="shared" si="0"/>
        <v>18</v>
      </c>
      <c r="C27" s="54" t="s">
        <v>13</v>
      </c>
      <c r="D27" s="80" t="s">
        <v>314</v>
      </c>
      <c r="E27" s="51" t="s">
        <v>315</v>
      </c>
      <c r="F27" s="51" t="s">
        <v>295</v>
      </c>
      <c r="G27" s="51" t="s">
        <v>316</v>
      </c>
      <c r="H27" s="51" t="s">
        <v>317</v>
      </c>
      <c r="I27" s="51" t="s">
        <v>298</v>
      </c>
      <c r="J27" s="51" t="s">
        <v>318</v>
      </c>
      <c r="K27" s="51" t="s">
        <v>253</v>
      </c>
      <c r="L27" s="51">
        <v>2</v>
      </c>
      <c r="M27" s="51">
        <v>5</v>
      </c>
      <c r="N27" s="64" t="s">
        <v>297</v>
      </c>
      <c r="O27" s="52">
        <v>0.30580000000000002</v>
      </c>
      <c r="P27" s="52">
        <f t="shared" ref="P27" si="9">O27*M27</f>
        <v>1.5290000000000001</v>
      </c>
      <c r="Q27" s="51"/>
      <c r="R27" s="59"/>
    </row>
    <row r="28" spans="1:18" s="68" customFormat="1" ht="36" x14ac:dyDescent="0.25">
      <c r="A28" s="66"/>
      <c r="B28" s="46">
        <f>ROW(B28) - ROW($B$9)</f>
        <v>19</v>
      </c>
      <c r="C28" s="53" t="s">
        <v>12</v>
      </c>
      <c r="D28" s="79" t="s">
        <v>34</v>
      </c>
      <c r="E28" s="37" t="s">
        <v>84</v>
      </c>
      <c r="F28" s="37" t="s">
        <v>124</v>
      </c>
      <c r="G28" s="37" t="s">
        <v>147</v>
      </c>
      <c r="H28" s="37" t="s">
        <v>181</v>
      </c>
      <c r="I28" s="37" t="s">
        <v>298</v>
      </c>
      <c r="J28" s="37" t="s">
        <v>210</v>
      </c>
      <c r="K28" s="37" t="s">
        <v>254</v>
      </c>
      <c r="L28" s="37">
        <v>13</v>
      </c>
      <c r="M28" s="37">
        <v>20</v>
      </c>
      <c r="N28" s="63" t="s">
        <v>297</v>
      </c>
      <c r="O28" s="38">
        <v>2.23E-2</v>
      </c>
      <c r="P28" s="38">
        <f>O28*M28</f>
        <v>0.44600000000000001</v>
      </c>
      <c r="Q28" s="37"/>
      <c r="R28" s="59"/>
    </row>
    <row r="29" spans="1:18" s="68" customFormat="1" ht="24" x14ac:dyDescent="0.25">
      <c r="A29" s="66"/>
      <c r="B29" s="47">
        <f t="shared" si="0"/>
        <v>20</v>
      </c>
      <c r="C29" s="54" t="s">
        <v>13</v>
      </c>
      <c r="D29" s="80" t="s">
        <v>319</v>
      </c>
      <c r="E29" s="51" t="s">
        <v>85</v>
      </c>
      <c r="F29" s="51" t="s">
        <v>295</v>
      </c>
      <c r="G29" s="51" t="s">
        <v>148</v>
      </c>
      <c r="H29" s="51" t="s">
        <v>192</v>
      </c>
      <c r="I29" s="51" t="s">
        <v>298</v>
      </c>
      <c r="J29" s="51" t="s">
        <v>211</v>
      </c>
      <c r="K29" s="51" t="s">
        <v>255</v>
      </c>
      <c r="L29" s="51">
        <v>1</v>
      </c>
      <c r="M29" s="51">
        <v>10</v>
      </c>
      <c r="N29" s="64" t="s">
        <v>297</v>
      </c>
      <c r="O29" s="52">
        <v>7.5499999999999998E-2</v>
      </c>
      <c r="P29" s="52">
        <f t="shared" ref="P29" si="10">O29*M29</f>
        <v>0.755</v>
      </c>
      <c r="Q29" s="51"/>
      <c r="R29" s="59"/>
    </row>
    <row r="30" spans="1:18" s="68" customFormat="1" ht="24" x14ac:dyDescent="0.25">
      <c r="A30" s="66"/>
      <c r="B30" s="46">
        <f>ROW(B30) - ROW($B$9)</f>
        <v>21</v>
      </c>
      <c r="C30" s="53" t="s">
        <v>12</v>
      </c>
      <c r="D30" s="79" t="s">
        <v>35</v>
      </c>
      <c r="E30" s="37" t="s">
        <v>86</v>
      </c>
      <c r="F30" s="37" t="s">
        <v>124</v>
      </c>
      <c r="G30" s="37" t="s">
        <v>149</v>
      </c>
      <c r="H30" s="37" t="s">
        <v>181</v>
      </c>
      <c r="I30" s="37" t="s">
        <v>298</v>
      </c>
      <c r="J30" s="37" t="s">
        <v>212</v>
      </c>
      <c r="K30" s="37" t="s">
        <v>256</v>
      </c>
      <c r="L30" s="37">
        <v>4</v>
      </c>
      <c r="M30" s="37">
        <v>20</v>
      </c>
      <c r="N30" s="63" t="s">
        <v>297</v>
      </c>
      <c r="O30" s="38">
        <v>2.2499999999999999E-2</v>
      </c>
      <c r="P30" s="38">
        <f>O30*M30</f>
        <v>0.44999999999999996</v>
      </c>
      <c r="Q30" s="37"/>
      <c r="R30" s="59"/>
    </row>
    <row r="31" spans="1:18" s="68" customFormat="1" ht="24" x14ac:dyDescent="0.25">
      <c r="A31" s="66"/>
      <c r="B31" s="47">
        <f t="shared" si="0"/>
        <v>22</v>
      </c>
      <c r="C31" s="54" t="s">
        <v>12</v>
      </c>
      <c r="D31" s="80" t="s">
        <v>36</v>
      </c>
      <c r="E31" s="51" t="s">
        <v>87</v>
      </c>
      <c r="F31" s="51" t="s">
        <v>124</v>
      </c>
      <c r="G31" s="51" t="s">
        <v>150</v>
      </c>
      <c r="H31" s="51" t="s">
        <v>181</v>
      </c>
      <c r="I31" s="51" t="s">
        <v>298</v>
      </c>
      <c r="J31" s="51" t="s">
        <v>213</v>
      </c>
      <c r="K31" s="51" t="s">
        <v>257</v>
      </c>
      <c r="L31" s="51">
        <v>2</v>
      </c>
      <c r="M31" s="51">
        <v>20</v>
      </c>
      <c r="N31" s="64" t="s">
        <v>297</v>
      </c>
      <c r="O31" s="52">
        <v>0.03</v>
      </c>
      <c r="P31" s="52">
        <f t="shared" ref="P31" si="11">O31*M31</f>
        <v>0.6</v>
      </c>
      <c r="Q31" s="51"/>
      <c r="R31" s="59"/>
    </row>
    <row r="32" spans="1:18" s="68" customFormat="1" ht="24" x14ac:dyDescent="0.25">
      <c r="A32" s="66"/>
      <c r="B32" s="46">
        <f>ROW(B32) - ROW($B$9)</f>
        <v>23</v>
      </c>
      <c r="C32" s="53" t="s">
        <v>12</v>
      </c>
      <c r="D32" s="79" t="s">
        <v>37</v>
      </c>
      <c r="E32" s="37" t="s">
        <v>88</v>
      </c>
      <c r="F32" s="37" t="s">
        <v>124</v>
      </c>
      <c r="G32" s="37" t="s">
        <v>151</v>
      </c>
      <c r="H32" s="37" t="s">
        <v>181</v>
      </c>
      <c r="I32" s="37" t="s">
        <v>298</v>
      </c>
      <c r="J32" s="37" t="s">
        <v>214</v>
      </c>
      <c r="K32" s="37" t="s">
        <v>258</v>
      </c>
      <c r="L32" s="37">
        <v>1</v>
      </c>
      <c r="M32" s="37">
        <v>20</v>
      </c>
      <c r="N32" s="63" t="s">
        <v>297</v>
      </c>
      <c r="O32" s="38">
        <v>2.8400000000000002E-2</v>
      </c>
      <c r="P32" s="38">
        <f>O32*M32</f>
        <v>0.56800000000000006</v>
      </c>
      <c r="Q32" s="37"/>
      <c r="R32" s="59"/>
    </row>
    <row r="33" spans="1:18" s="68" customFormat="1" ht="25.5" x14ac:dyDescent="0.25">
      <c r="A33" s="66"/>
      <c r="B33" s="46">
        <f>ROW(B33) - ROW($B$9)</f>
        <v>24</v>
      </c>
      <c r="C33" s="54" t="s">
        <v>13</v>
      </c>
      <c r="D33" s="80" t="s">
        <v>320</v>
      </c>
      <c r="E33" s="51" t="s">
        <v>321</v>
      </c>
      <c r="F33" s="51" t="s">
        <v>295</v>
      </c>
      <c r="G33" s="51" t="s">
        <v>322</v>
      </c>
      <c r="H33" s="51" t="s">
        <v>317</v>
      </c>
      <c r="I33" s="37" t="s">
        <v>298</v>
      </c>
      <c r="J33" s="51" t="s">
        <v>323</v>
      </c>
      <c r="K33" s="51" t="s">
        <v>255</v>
      </c>
      <c r="L33" s="51">
        <v>1</v>
      </c>
      <c r="M33" s="51">
        <v>5</v>
      </c>
      <c r="N33" s="63" t="s">
        <v>297</v>
      </c>
      <c r="O33" s="38">
        <v>0.34499999999999997</v>
      </c>
      <c r="P33" s="52">
        <f t="shared" ref="P33" si="12">O33*M33</f>
        <v>1.7249999999999999</v>
      </c>
      <c r="Q33" s="51"/>
      <c r="R33" s="59"/>
    </row>
    <row r="34" spans="1:18" s="68" customFormat="1" ht="24" x14ac:dyDescent="0.25">
      <c r="A34" s="66"/>
      <c r="B34" s="47">
        <f t="shared" si="0"/>
        <v>25</v>
      </c>
      <c r="C34" s="54" t="s">
        <v>12</v>
      </c>
      <c r="D34" s="80" t="s">
        <v>38</v>
      </c>
      <c r="E34" s="51" t="s">
        <v>89</v>
      </c>
      <c r="F34" s="51" t="s">
        <v>124</v>
      </c>
      <c r="G34" s="51" t="s">
        <v>152</v>
      </c>
      <c r="H34" s="51" t="s">
        <v>181</v>
      </c>
      <c r="I34" s="51" t="s">
        <v>298</v>
      </c>
      <c r="J34" s="51" t="s">
        <v>215</v>
      </c>
      <c r="K34" s="51" t="s">
        <v>259</v>
      </c>
      <c r="L34" s="51">
        <v>2</v>
      </c>
      <c r="M34" s="37">
        <v>20</v>
      </c>
      <c r="N34" s="64" t="s">
        <v>297</v>
      </c>
      <c r="O34" s="52">
        <v>2.9600000000000001E-2</v>
      </c>
      <c r="P34" s="38">
        <f>O34*M34</f>
        <v>0.59200000000000008</v>
      </c>
      <c r="Q34" s="37"/>
      <c r="R34" s="59"/>
    </row>
    <row r="35" spans="1:18" s="68" customFormat="1" ht="24" x14ac:dyDescent="0.25">
      <c r="A35" s="66"/>
      <c r="B35" s="46">
        <f>ROW(B35) - ROW($B$9)</f>
        <v>26</v>
      </c>
      <c r="C35" s="53" t="s">
        <v>12</v>
      </c>
      <c r="D35" s="79" t="s">
        <v>39</v>
      </c>
      <c r="E35" s="37" t="s">
        <v>90</v>
      </c>
      <c r="F35" s="37" t="s">
        <v>124</v>
      </c>
      <c r="G35" s="37" t="s">
        <v>153</v>
      </c>
      <c r="H35" s="37" t="s">
        <v>181</v>
      </c>
      <c r="I35" s="37" t="s">
        <v>298</v>
      </c>
      <c r="J35" s="37" t="s">
        <v>216</v>
      </c>
      <c r="K35" s="37" t="s">
        <v>260</v>
      </c>
      <c r="L35" s="37">
        <v>1</v>
      </c>
      <c r="M35" s="51">
        <v>20</v>
      </c>
      <c r="N35" s="63" t="s">
        <v>297</v>
      </c>
      <c r="O35" s="38">
        <v>2.7199999999999998E-2</v>
      </c>
      <c r="P35" s="52">
        <f t="shared" ref="P35" si="13">O35*M35</f>
        <v>0.54399999999999993</v>
      </c>
      <c r="Q35" s="51"/>
      <c r="R35" s="59"/>
    </row>
    <row r="36" spans="1:18" s="68" customFormat="1" ht="24" x14ac:dyDescent="0.25">
      <c r="A36" s="66"/>
      <c r="B36" s="47">
        <f t="shared" si="0"/>
        <v>27</v>
      </c>
      <c r="C36" s="54" t="s">
        <v>12</v>
      </c>
      <c r="D36" s="80" t="s">
        <v>40</v>
      </c>
      <c r="E36" s="51" t="s">
        <v>91</v>
      </c>
      <c r="F36" s="51" t="s">
        <v>124</v>
      </c>
      <c r="G36" s="51" t="s">
        <v>154</v>
      </c>
      <c r="H36" s="51" t="s">
        <v>193</v>
      </c>
      <c r="I36" s="51" t="s">
        <v>298</v>
      </c>
      <c r="J36" s="51" t="s">
        <v>217</v>
      </c>
      <c r="K36" s="51" t="s">
        <v>261</v>
      </c>
      <c r="L36" s="51">
        <v>2</v>
      </c>
      <c r="M36" s="37">
        <v>50</v>
      </c>
      <c r="N36" s="64" t="s">
        <v>297</v>
      </c>
      <c r="O36" s="52">
        <v>8.3000000000000001E-3</v>
      </c>
      <c r="P36" s="38">
        <f>O36*M36</f>
        <v>0.41499999999999998</v>
      </c>
      <c r="Q36" s="37"/>
      <c r="R36" s="59"/>
    </row>
    <row r="37" spans="1:18" s="68" customFormat="1" ht="24" x14ac:dyDescent="0.25">
      <c r="A37" s="66"/>
      <c r="B37" s="46">
        <f>ROW(B37) - ROW($B$9)</f>
        <v>28</v>
      </c>
      <c r="C37" s="53" t="s">
        <v>12</v>
      </c>
      <c r="D37" s="79" t="s">
        <v>41</v>
      </c>
      <c r="E37" s="37" t="s">
        <v>92</v>
      </c>
      <c r="F37" s="37" t="s">
        <v>125</v>
      </c>
      <c r="G37" s="37" t="s">
        <v>155</v>
      </c>
      <c r="H37" s="37" t="s">
        <v>193</v>
      </c>
      <c r="I37" s="37" t="s">
        <v>298</v>
      </c>
      <c r="J37" s="37" t="s">
        <v>218</v>
      </c>
      <c r="K37" s="37" t="s">
        <v>262</v>
      </c>
      <c r="L37" s="37">
        <v>3</v>
      </c>
      <c r="M37" s="51">
        <v>10</v>
      </c>
      <c r="N37" s="63" t="s">
        <v>297</v>
      </c>
      <c r="O37" s="38">
        <v>4.2999999999999997E-2</v>
      </c>
      <c r="P37" s="52">
        <f t="shared" ref="P37" si="14">O37*M37</f>
        <v>0.42999999999999994</v>
      </c>
      <c r="Q37" s="51"/>
      <c r="R37" s="59"/>
    </row>
    <row r="38" spans="1:18" s="68" customFormat="1" ht="24" x14ac:dyDescent="0.25">
      <c r="A38" s="66"/>
      <c r="B38" s="47">
        <f t="shared" si="0"/>
        <v>29</v>
      </c>
      <c r="C38" s="54" t="s">
        <v>12</v>
      </c>
      <c r="D38" s="80" t="s">
        <v>42</v>
      </c>
      <c r="E38" s="51" t="s">
        <v>93</v>
      </c>
      <c r="F38" s="51" t="s">
        <v>126</v>
      </c>
      <c r="G38" s="51" t="s">
        <v>156</v>
      </c>
      <c r="H38" s="51" t="s">
        <v>193</v>
      </c>
      <c r="I38" s="51" t="s">
        <v>298</v>
      </c>
      <c r="J38" s="51" t="s">
        <v>219</v>
      </c>
      <c r="K38" s="51" t="s">
        <v>263</v>
      </c>
      <c r="L38" s="51">
        <v>2</v>
      </c>
      <c r="M38" s="37">
        <v>20</v>
      </c>
      <c r="N38" s="64" t="s">
        <v>297</v>
      </c>
      <c r="O38" s="52">
        <v>2.5100000000000001E-2</v>
      </c>
      <c r="P38" s="38">
        <f>O38*M38</f>
        <v>0.502</v>
      </c>
      <c r="Q38" s="37"/>
      <c r="R38" s="59"/>
    </row>
    <row r="39" spans="1:18" s="68" customFormat="1" ht="36" x14ac:dyDescent="0.25">
      <c r="A39" s="66"/>
      <c r="B39" s="46">
        <f>ROW(B39) - ROW($B$9)</f>
        <v>30</v>
      </c>
      <c r="C39" s="53" t="s">
        <v>12</v>
      </c>
      <c r="D39" s="79" t="s">
        <v>43</v>
      </c>
      <c r="E39" s="37" t="s">
        <v>94</v>
      </c>
      <c r="F39" s="37" t="s">
        <v>124</v>
      </c>
      <c r="G39" s="37" t="s">
        <v>157</v>
      </c>
      <c r="H39" s="37" t="s">
        <v>193</v>
      </c>
      <c r="I39" s="37" t="s">
        <v>298</v>
      </c>
      <c r="J39" s="37" t="s">
        <v>220</v>
      </c>
      <c r="K39" s="37" t="s">
        <v>264</v>
      </c>
      <c r="L39" s="37">
        <v>3</v>
      </c>
      <c r="M39" s="51">
        <v>20</v>
      </c>
      <c r="N39" s="63" t="s">
        <v>297</v>
      </c>
      <c r="O39" s="38">
        <v>2.86E-2</v>
      </c>
      <c r="P39" s="52">
        <f t="shared" ref="P39" si="15">O39*M39</f>
        <v>0.57200000000000006</v>
      </c>
      <c r="Q39" s="51"/>
      <c r="R39" s="59"/>
    </row>
    <row r="40" spans="1:18" s="68" customFormat="1" x14ac:dyDescent="0.25">
      <c r="A40" s="66"/>
      <c r="B40" s="47">
        <f t="shared" si="0"/>
        <v>31</v>
      </c>
      <c r="C40" s="54" t="s">
        <v>12</v>
      </c>
      <c r="D40" s="80" t="s">
        <v>44</v>
      </c>
      <c r="E40" s="51" t="s">
        <v>95</v>
      </c>
      <c r="F40" s="51" t="s">
        <v>124</v>
      </c>
      <c r="G40" s="51" t="s">
        <v>158</v>
      </c>
      <c r="H40" s="51" t="s">
        <v>181</v>
      </c>
      <c r="I40" s="51" t="s">
        <v>298</v>
      </c>
      <c r="J40" s="51" t="s">
        <v>221</v>
      </c>
      <c r="K40" s="51" t="s">
        <v>265</v>
      </c>
      <c r="L40" s="51">
        <v>2</v>
      </c>
      <c r="M40" s="37">
        <v>50</v>
      </c>
      <c r="N40" s="64" t="s">
        <v>297</v>
      </c>
      <c r="O40" s="52">
        <v>8.2000000000000007E-3</v>
      </c>
      <c r="P40" s="38">
        <f>O40*M40</f>
        <v>0.41000000000000003</v>
      </c>
      <c r="Q40" s="37"/>
      <c r="R40" s="59"/>
    </row>
    <row r="41" spans="1:18" s="68" customFormat="1" ht="24" x14ac:dyDescent="0.25">
      <c r="A41" s="66"/>
      <c r="B41" s="46">
        <f>ROW(B41) - ROW($B$9)</f>
        <v>32</v>
      </c>
      <c r="C41" s="53" t="s">
        <v>12</v>
      </c>
      <c r="D41" s="79" t="s">
        <v>45</v>
      </c>
      <c r="E41" s="37" t="s">
        <v>96</v>
      </c>
      <c r="F41" s="37" t="s">
        <v>124</v>
      </c>
      <c r="G41" s="37" t="s">
        <v>159</v>
      </c>
      <c r="H41" s="37" t="s">
        <v>181</v>
      </c>
      <c r="I41" s="37" t="s">
        <v>298</v>
      </c>
      <c r="J41" s="37" t="s">
        <v>222</v>
      </c>
      <c r="K41" s="37" t="s">
        <v>266</v>
      </c>
      <c r="L41" s="37">
        <v>3</v>
      </c>
      <c r="M41" s="51">
        <v>20</v>
      </c>
      <c r="N41" s="63" t="s">
        <v>297</v>
      </c>
      <c r="O41" s="38">
        <v>2.98E-2</v>
      </c>
      <c r="P41" s="52">
        <f t="shared" ref="P41" si="16">O41*M41</f>
        <v>0.59599999999999997</v>
      </c>
      <c r="Q41" s="51"/>
      <c r="R41" s="59"/>
    </row>
    <row r="42" spans="1:18" s="68" customFormat="1" x14ac:dyDescent="0.25">
      <c r="A42" s="66"/>
      <c r="B42" s="47">
        <f t="shared" si="0"/>
        <v>33</v>
      </c>
      <c r="C42" s="54"/>
      <c r="D42" s="80" t="s">
        <v>46</v>
      </c>
      <c r="E42" s="51" t="s">
        <v>97</v>
      </c>
      <c r="F42" s="51" t="s">
        <v>126</v>
      </c>
      <c r="G42" s="51" t="s">
        <v>160</v>
      </c>
      <c r="H42" s="51" t="s">
        <v>181</v>
      </c>
      <c r="I42" s="51" t="s">
        <v>298</v>
      </c>
      <c r="J42" s="51" t="s">
        <v>223</v>
      </c>
      <c r="K42" s="51" t="s">
        <v>267</v>
      </c>
      <c r="L42" s="51">
        <v>3</v>
      </c>
      <c r="M42" s="37">
        <v>100</v>
      </c>
      <c r="N42" s="64" t="s">
        <v>297</v>
      </c>
      <c r="O42" s="52">
        <v>6.9999999999999999E-4</v>
      </c>
      <c r="P42" s="38">
        <f>O42*M42</f>
        <v>6.9999999999999993E-2</v>
      </c>
      <c r="Q42" s="37"/>
      <c r="R42" s="59"/>
    </row>
    <row r="43" spans="1:18" s="68" customFormat="1" x14ac:dyDescent="0.25">
      <c r="A43" s="66"/>
      <c r="B43" s="46">
        <f>ROW(B43) - ROW($B$9)</f>
        <v>34</v>
      </c>
      <c r="C43" s="53" t="s">
        <v>12</v>
      </c>
      <c r="D43" s="79" t="s">
        <v>47</v>
      </c>
      <c r="E43" s="37" t="s">
        <v>98</v>
      </c>
      <c r="F43" s="37" t="s">
        <v>124</v>
      </c>
      <c r="G43" s="37" t="s">
        <v>161</v>
      </c>
      <c r="H43" s="37" t="s">
        <v>181</v>
      </c>
      <c r="I43" s="37" t="s">
        <v>298</v>
      </c>
      <c r="J43" s="37" t="s">
        <v>224</v>
      </c>
      <c r="K43" s="37" t="s">
        <v>268</v>
      </c>
      <c r="L43" s="37">
        <v>2</v>
      </c>
      <c r="M43" s="51">
        <v>100</v>
      </c>
      <c r="N43" s="63" t="s">
        <v>297</v>
      </c>
      <c r="O43" s="38">
        <v>1.1999999999999999E-3</v>
      </c>
      <c r="P43" s="52">
        <f t="shared" ref="P43" si="17">O43*M43</f>
        <v>0.12</v>
      </c>
      <c r="Q43" s="51"/>
      <c r="R43" s="59"/>
    </row>
    <row r="44" spans="1:18" s="68" customFormat="1" ht="36" x14ac:dyDescent="0.25">
      <c r="A44" s="66"/>
      <c r="B44" s="47">
        <f t="shared" si="0"/>
        <v>35</v>
      </c>
      <c r="C44" s="54" t="s">
        <v>12</v>
      </c>
      <c r="D44" s="80" t="s">
        <v>48</v>
      </c>
      <c r="E44" s="51" t="s">
        <v>99</v>
      </c>
      <c r="F44" s="51" t="s">
        <v>124</v>
      </c>
      <c r="G44" s="51" t="s">
        <v>162</v>
      </c>
      <c r="H44" s="51" t="s">
        <v>193</v>
      </c>
      <c r="I44" s="51" t="s">
        <v>298</v>
      </c>
      <c r="J44" s="51" t="s">
        <v>225</v>
      </c>
      <c r="K44" s="51" t="s">
        <v>269</v>
      </c>
      <c r="L44" s="51">
        <v>3</v>
      </c>
      <c r="M44" s="37">
        <v>20</v>
      </c>
      <c r="N44" s="64" t="s">
        <v>297</v>
      </c>
      <c r="O44" s="52">
        <v>2.7199999999999998E-2</v>
      </c>
      <c r="P44" s="38">
        <f>O44*M44</f>
        <v>0.54399999999999993</v>
      </c>
      <c r="Q44" s="37"/>
      <c r="R44" s="59"/>
    </row>
    <row r="45" spans="1:18" s="68" customFormat="1" ht="24" x14ac:dyDescent="0.25">
      <c r="A45" s="66"/>
      <c r="B45" s="46">
        <f>ROW(B45) - ROW($B$9)</f>
        <v>36</v>
      </c>
      <c r="C45" s="53" t="s">
        <v>12</v>
      </c>
      <c r="D45" s="79" t="s">
        <v>49</v>
      </c>
      <c r="E45" s="37" t="s">
        <v>100</v>
      </c>
      <c r="F45" s="37" t="s">
        <v>126</v>
      </c>
      <c r="G45" s="37" t="s">
        <v>163</v>
      </c>
      <c r="H45" s="37" t="s">
        <v>181</v>
      </c>
      <c r="I45" s="37" t="s">
        <v>298</v>
      </c>
      <c r="J45" s="37" t="s">
        <v>226</v>
      </c>
      <c r="K45" s="37" t="s">
        <v>270</v>
      </c>
      <c r="L45" s="37">
        <v>2</v>
      </c>
      <c r="M45" s="51">
        <v>20</v>
      </c>
      <c r="N45" s="63" t="s">
        <v>297</v>
      </c>
      <c r="O45" s="38">
        <v>2.4899999999999999E-2</v>
      </c>
      <c r="P45" s="52">
        <f t="shared" ref="P45" si="18">O45*M45</f>
        <v>0.498</v>
      </c>
      <c r="Q45" s="51"/>
      <c r="R45" s="59"/>
    </row>
    <row r="46" spans="1:18" s="68" customFormat="1" ht="36" x14ac:dyDescent="0.25">
      <c r="A46" s="66"/>
      <c r="B46" s="47">
        <f t="shared" si="0"/>
        <v>37</v>
      </c>
      <c r="C46" s="54" t="s">
        <v>12</v>
      </c>
      <c r="D46" s="80" t="s">
        <v>50</v>
      </c>
      <c r="E46" s="51" t="s">
        <v>101</v>
      </c>
      <c r="F46" s="51" t="s">
        <v>124</v>
      </c>
      <c r="G46" s="51" t="s">
        <v>164</v>
      </c>
      <c r="H46" s="51" t="s">
        <v>193</v>
      </c>
      <c r="I46" s="51" t="s">
        <v>298</v>
      </c>
      <c r="J46" s="51" t="s">
        <v>227</v>
      </c>
      <c r="K46" s="51" t="s">
        <v>271</v>
      </c>
      <c r="L46" s="51">
        <v>3</v>
      </c>
      <c r="M46" s="37">
        <v>20</v>
      </c>
      <c r="N46" s="64" t="s">
        <v>297</v>
      </c>
      <c r="O46" s="52">
        <v>3.0200000000000001E-2</v>
      </c>
      <c r="P46" s="38">
        <f>O46*M46</f>
        <v>0.60399999999999998</v>
      </c>
      <c r="Q46" s="37"/>
      <c r="R46" s="59"/>
    </row>
    <row r="47" spans="1:18" s="68" customFormat="1" ht="24" x14ac:dyDescent="0.25">
      <c r="A47" s="66"/>
      <c r="B47" s="46">
        <f>ROW(B47) - ROW($B$9)</f>
        <v>38</v>
      </c>
      <c r="C47" s="53" t="s">
        <v>12</v>
      </c>
      <c r="D47" s="79" t="s">
        <v>51</v>
      </c>
      <c r="E47" s="37" t="s">
        <v>102</v>
      </c>
      <c r="F47" s="37" t="s">
        <v>124</v>
      </c>
      <c r="G47" s="37" t="s">
        <v>165</v>
      </c>
      <c r="H47" s="37" t="s">
        <v>181</v>
      </c>
      <c r="I47" s="37" t="s">
        <v>298</v>
      </c>
      <c r="J47" s="37" t="s">
        <v>228</v>
      </c>
      <c r="K47" s="37" t="s">
        <v>272</v>
      </c>
      <c r="L47" s="37">
        <v>2</v>
      </c>
      <c r="M47" s="51">
        <v>20</v>
      </c>
      <c r="N47" s="63" t="s">
        <v>297</v>
      </c>
      <c r="O47" s="38">
        <v>2.7799999999999998E-2</v>
      </c>
      <c r="P47" s="52">
        <f t="shared" ref="P47" si="19">O47*M47</f>
        <v>0.55599999999999994</v>
      </c>
      <c r="Q47" s="51"/>
      <c r="R47" s="59"/>
    </row>
    <row r="48" spans="1:18" s="68" customFormat="1" ht="48" x14ac:dyDescent="0.25">
      <c r="A48" s="66"/>
      <c r="B48" s="47">
        <f t="shared" si="0"/>
        <v>39</v>
      </c>
      <c r="C48" s="54" t="s">
        <v>12</v>
      </c>
      <c r="D48" s="80" t="s">
        <v>52</v>
      </c>
      <c r="E48" s="51" t="s">
        <v>103</v>
      </c>
      <c r="F48" s="51" t="s">
        <v>125</v>
      </c>
      <c r="G48" s="51" t="s">
        <v>166</v>
      </c>
      <c r="H48" s="51" t="s">
        <v>193</v>
      </c>
      <c r="I48" s="51" t="s">
        <v>298</v>
      </c>
      <c r="J48" s="51" t="s">
        <v>229</v>
      </c>
      <c r="K48" s="51" t="s">
        <v>273</v>
      </c>
      <c r="L48" s="51">
        <v>2</v>
      </c>
      <c r="M48" s="37">
        <v>20</v>
      </c>
      <c r="N48" s="64" t="s">
        <v>297</v>
      </c>
      <c r="O48" s="52">
        <v>3.2399999999999998E-2</v>
      </c>
      <c r="P48" s="38">
        <f>O48*M48</f>
        <v>0.64799999999999991</v>
      </c>
      <c r="Q48" s="37"/>
      <c r="R48" s="59"/>
    </row>
    <row r="49" spans="1:18" s="68" customFormat="1" ht="24" x14ac:dyDescent="0.25">
      <c r="A49" s="66"/>
      <c r="B49" s="46">
        <f>ROW(B49) - ROW($B$9)</f>
        <v>40</v>
      </c>
      <c r="C49" s="53" t="s">
        <v>12</v>
      </c>
      <c r="D49" s="79" t="s">
        <v>53</v>
      </c>
      <c r="E49" s="37" t="s">
        <v>104</v>
      </c>
      <c r="F49" s="37" t="s">
        <v>126</v>
      </c>
      <c r="G49" s="37" t="s">
        <v>167</v>
      </c>
      <c r="H49" s="37" t="s">
        <v>181</v>
      </c>
      <c r="I49" s="51" t="s">
        <v>298</v>
      </c>
      <c r="J49" s="37" t="s">
        <v>230</v>
      </c>
      <c r="K49" s="37" t="s">
        <v>274</v>
      </c>
      <c r="L49" s="37">
        <v>3</v>
      </c>
      <c r="M49" s="51">
        <v>20</v>
      </c>
      <c r="N49" s="63" t="s">
        <v>297</v>
      </c>
      <c r="O49" s="38">
        <v>2.58E-2</v>
      </c>
      <c r="P49" s="52">
        <f t="shared" ref="P49" si="20">O49*M49</f>
        <v>0.51600000000000001</v>
      </c>
      <c r="Q49" s="51"/>
      <c r="R49" s="59"/>
    </row>
    <row r="50" spans="1:18" s="68" customFormat="1" ht="24" x14ac:dyDescent="0.25">
      <c r="A50" s="66"/>
      <c r="B50" s="47">
        <f t="shared" si="0"/>
        <v>41</v>
      </c>
      <c r="C50" s="54" t="s">
        <v>12</v>
      </c>
      <c r="D50" s="80" t="s">
        <v>54</v>
      </c>
      <c r="E50" s="51" t="s">
        <v>105</v>
      </c>
      <c r="F50" s="51" t="s">
        <v>124</v>
      </c>
      <c r="G50" s="51" t="s">
        <v>168</v>
      </c>
      <c r="H50" s="51" t="s">
        <v>181</v>
      </c>
      <c r="I50" s="51" t="s">
        <v>298</v>
      </c>
      <c r="J50" s="51" t="s">
        <v>231</v>
      </c>
      <c r="K50" s="51" t="s">
        <v>275</v>
      </c>
      <c r="L50" s="51">
        <v>1</v>
      </c>
      <c r="M50" s="37">
        <v>20</v>
      </c>
      <c r="N50" s="64" t="s">
        <v>297</v>
      </c>
      <c r="O50" s="52">
        <v>2.9399999999999999E-2</v>
      </c>
      <c r="P50" s="38">
        <f>O50*M50</f>
        <v>0.58799999999999997</v>
      </c>
      <c r="Q50" s="37"/>
      <c r="R50" s="59"/>
    </row>
    <row r="51" spans="1:18" s="68" customFormat="1" ht="48" x14ac:dyDescent="0.25">
      <c r="A51" s="66"/>
      <c r="B51" s="46">
        <f>ROW(B51) - ROW($B$9)</f>
        <v>42</v>
      </c>
      <c r="C51" s="53" t="s">
        <v>12</v>
      </c>
      <c r="D51" s="79" t="s">
        <v>55</v>
      </c>
      <c r="E51" s="37" t="s">
        <v>106</v>
      </c>
      <c r="F51" s="37" t="s">
        <v>125</v>
      </c>
      <c r="G51" s="37" t="s">
        <v>169</v>
      </c>
      <c r="H51" s="37" t="s">
        <v>194</v>
      </c>
      <c r="I51" s="51" t="s">
        <v>298</v>
      </c>
      <c r="J51" s="37" t="s">
        <v>232</v>
      </c>
      <c r="K51" s="37" t="s">
        <v>276</v>
      </c>
      <c r="L51" s="37">
        <v>1</v>
      </c>
      <c r="M51" s="51">
        <v>100</v>
      </c>
      <c r="N51" s="63" t="s">
        <v>297</v>
      </c>
      <c r="O51" s="38">
        <v>1.9E-3</v>
      </c>
      <c r="P51" s="52">
        <f t="shared" ref="P51" si="21">O51*M51</f>
        <v>0.19</v>
      </c>
      <c r="Q51" s="51"/>
      <c r="R51" s="59"/>
    </row>
    <row r="52" spans="1:18" s="68" customFormat="1" ht="24" x14ac:dyDescent="0.25">
      <c r="A52" s="66"/>
      <c r="B52" s="47">
        <f t="shared" si="0"/>
        <v>43</v>
      </c>
      <c r="C52" s="54" t="s">
        <v>12</v>
      </c>
      <c r="D52" s="80" t="s">
        <v>56</v>
      </c>
      <c r="E52" s="51" t="s">
        <v>107</v>
      </c>
      <c r="F52" s="51" t="s">
        <v>125</v>
      </c>
      <c r="G52" s="51" t="s">
        <v>170</v>
      </c>
      <c r="H52" s="51" t="s">
        <v>181</v>
      </c>
      <c r="I52" s="51" t="s">
        <v>298</v>
      </c>
      <c r="J52" s="51" t="s">
        <v>233</v>
      </c>
      <c r="K52" s="51" t="s">
        <v>277</v>
      </c>
      <c r="L52" s="51">
        <v>1</v>
      </c>
      <c r="M52" s="37">
        <v>20</v>
      </c>
      <c r="N52" s="64" t="s">
        <v>297</v>
      </c>
      <c r="O52" s="52">
        <v>3.8600000000000002E-2</v>
      </c>
      <c r="P52" s="38">
        <f>O52*M52</f>
        <v>0.77200000000000002</v>
      </c>
      <c r="Q52" s="37"/>
      <c r="R52" s="59"/>
    </row>
    <row r="53" spans="1:18" s="68" customFormat="1" ht="48" x14ac:dyDescent="0.25">
      <c r="A53" s="66"/>
      <c r="B53" s="46">
        <f>ROW(B53) - ROW($B$9)</f>
        <v>44</v>
      </c>
      <c r="C53" s="53" t="s">
        <v>12</v>
      </c>
      <c r="D53" s="79" t="s">
        <v>57</v>
      </c>
      <c r="E53" s="37" t="s">
        <v>108</v>
      </c>
      <c r="F53" s="37" t="s">
        <v>126</v>
      </c>
      <c r="G53" s="37" t="s">
        <v>171</v>
      </c>
      <c r="H53" s="37" t="s">
        <v>193</v>
      </c>
      <c r="I53" s="51" t="s">
        <v>298</v>
      </c>
      <c r="J53" s="37" t="s">
        <v>234</v>
      </c>
      <c r="K53" s="37" t="s">
        <v>278</v>
      </c>
      <c r="L53" s="37">
        <v>1</v>
      </c>
      <c r="M53" s="51">
        <v>20</v>
      </c>
      <c r="N53" s="63" t="s">
        <v>297</v>
      </c>
      <c r="O53" s="38">
        <v>2.1700000000000001E-2</v>
      </c>
      <c r="P53" s="52">
        <f t="shared" ref="P53" si="22">O53*M53</f>
        <v>0.434</v>
      </c>
      <c r="Q53" s="51"/>
      <c r="R53" s="59"/>
    </row>
    <row r="54" spans="1:18" s="68" customFormat="1" ht="48" x14ac:dyDescent="0.25">
      <c r="A54" s="66"/>
      <c r="B54" s="47">
        <f t="shared" si="0"/>
        <v>45</v>
      </c>
      <c r="C54" s="54" t="s">
        <v>12</v>
      </c>
      <c r="D54" s="51" t="s">
        <v>58</v>
      </c>
      <c r="E54" s="51" t="s">
        <v>109</v>
      </c>
      <c r="F54" s="51" t="s">
        <v>125</v>
      </c>
      <c r="G54" s="51" t="s">
        <v>172</v>
      </c>
      <c r="H54" s="51" t="s">
        <v>193</v>
      </c>
      <c r="I54" s="51" t="s">
        <v>298</v>
      </c>
      <c r="J54" s="51" t="s">
        <v>235</v>
      </c>
      <c r="K54" s="51" t="s">
        <v>279</v>
      </c>
      <c r="L54" s="51">
        <v>1</v>
      </c>
      <c r="M54" s="37">
        <v>20</v>
      </c>
      <c r="N54" s="64" t="s">
        <v>297</v>
      </c>
      <c r="O54" s="52">
        <v>3.1199999999999999E-2</v>
      </c>
      <c r="P54" s="38">
        <f>O54*M54</f>
        <v>0.624</v>
      </c>
      <c r="Q54" s="37"/>
      <c r="R54" s="59"/>
    </row>
    <row r="55" spans="1:18" s="68" customFormat="1" ht="24" x14ac:dyDescent="0.25">
      <c r="A55" s="66"/>
      <c r="B55" s="46">
        <f>ROW(B55) - ROW($B$9)</f>
        <v>46</v>
      </c>
      <c r="C55" s="53" t="s">
        <v>12</v>
      </c>
      <c r="D55" s="37" t="s">
        <v>59</v>
      </c>
      <c r="E55" s="37" t="s">
        <v>110</v>
      </c>
      <c r="F55" s="37" t="s">
        <v>126</v>
      </c>
      <c r="G55" s="37" t="s">
        <v>173</v>
      </c>
      <c r="H55" s="37" t="s">
        <v>181</v>
      </c>
      <c r="I55" s="51" t="s">
        <v>298</v>
      </c>
      <c r="J55" s="37" t="s">
        <v>236</v>
      </c>
      <c r="K55" s="37" t="s">
        <v>280</v>
      </c>
      <c r="L55" s="37">
        <v>1</v>
      </c>
      <c r="M55" s="51">
        <v>20</v>
      </c>
      <c r="N55" s="63" t="s">
        <v>297</v>
      </c>
      <c r="O55" s="38">
        <v>2.52E-2</v>
      </c>
      <c r="P55" s="52">
        <f t="shared" ref="P55" si="23">O55*M55</f>
        <v>0.504</v>
      </c>
      <c r="Q55" s="51"/>
      <c r="R55" s="59"/>
    </row>
    <row r="56" spans="1:18" s="68" customFormat="1" ht="48" x14ac:dyDescent="0.25">
      <c r="A56" s="66"/>
      <c r="B56" s="47">
        <f t="shared" si="0"/>
        <v>47</v>
      </c>
      <c r="C56" s="54" t="s">
        <v>12</v>
      </c>
      <c r="D56" s="51" t="s">
        <v>60</v>
      </c>
      <c r="E56" s="51" t="s">
        <v>111</v>
      </c>
      <c r="F56" s="51" t="s">
        <v>124</v>
      </c>
      <c r="G56" s="51" t="s">
        <v>174</v>
      </c>
      <c r="H56" s="51" t="s">
        <v>193</v>
      </c>
      <c r="I56" s="51" t="s">
        <v>298</v>
      </c>
      <c r="J56" s="51" t="s">
        <v>237</v>
      </c>
      <c r="K56" s="51" t="s">
        <v>281</v>
      </c>
      <c r="L56" s="51">
        <v>1</v>
      </c>
      <c r="M56" s="37">
        <v>20</v>
      </c>
      <c r="N56" s="64" t="s">
        <v>297</v>
      </c>
      <c r="O56" s="52">
        <v>2.3699999999999999E-2</v>
      </c>
      <c r="P56" s="38">
        <f>O56*M56</f>
        <v>0.47399999999999998</v>
      </c>
      <c r="Q56" s="37"/>
      <c r="R56" s="59"/>
    </row>
    <row r="57" spans="1:18" s="68" customFormat="1" ht="24" x14ac:dyDescent="0.25">
      <c r="A57" s="66"/>
      <c r="B57" s="47">
        <f t="shared" si="0"/>
        <v>48</v>
      </c>
      <c r="C57" s="54" t="s">
        <v>13</v>
      </c>
      <c r="D57" s="51" t="s">
        <v>324</v>
      </c>
      <c r="E57" s="51" t="s">
        <v>83</v>
      </c>
      <c r="F57" s="51" t="s">
        <v>295</v>
      </c>
      <c r="G57" s="51" t="s">
        <v>146</v>
      </c>
      <c r="H57" s="51" t="s">
        <v>191</v>
      </c>
      <c r="I57" s="51"/>
      <c r="J57" s="51" t="s">
        <v>209</v>
      </c>
      <c r="K57" s="51" t="s">
        <v>253</v>
      </c>
      <c r="L57" s="51">
        <v>1</v>
      </c>
      <c r="M57" s="80">
        <v>5</v>
      </c>
      <c r="N57" s="63" t="s">
        <v>297</v>
      </c>
      <c r="O57" s="38">
        <v>0.14399999999999999</v>
      </c>
      <c r="P57" s="38">
        <f>O57*M57</f>
        <v>0.72</v>
      </c>
      <c r="Q57" s="60"/>
      <c r="R57" s="62"/>
    </row>
    <row r="58" spans="1:18" s="68" customFormat="1" ht="24" x14ac:dyDescent="0.25">
      <c r="A58" s="66"/>
      <c r="B58" s="46">
        <f>ROW(B58) - ROW($B$9)</f>
        <v>49</v>
      </c>
      <c r="C58" s="53" t="s">
        <v>12</v>
      </c>
      <c r="D58" s="37" t="s">
        <v>61</v>
      </c>
      <c r="E58" s="37" t="s">
        <v>112</v>
      </c>
      <c r="F58" s="37" t="s">
        <v>124</v>
      </c>
      <c r="G58" s="37" t="s">
        <v>175</v>
      </c>
      <c r="H58" s="37" t="s">
        <v>181</v>
      </c>
      <c r="I58" s="51" t="s">
        <v>298</v>
      </c>
      <c r="J58" s="37" t="s">
        <v>238</v>
      </c>
      <c r="K58" s="37" t="s">
        <v>282</v>
      </c>
      <c r="L58" s="37">
        <v>2</v>
      </c>
      <c r="M58" s="37">
        <v>20</v>
      </c>
      <c r="N58" s="63" t="s">
        <v>297</v>
      </c>
      <c r="O58" s="38">
        <v>2.5399999999999999E-2</v>
      </c>
      <c r="P58" s="38">
        <f>O58*M58</f>
        <v>0.50800000000000001</v>
      </c>
      <c r="Q58" s="37"/>
      <c r="R58" s="59"/>
    </row>
    <row r="59" spans="1:18" s="68" customFormat="1" x14ac:dyDescent="0.25">
      <c r="A59" s="66"/>
      <c r="B59" s="47">
        <f t="shared" si="0"/>
        <v>50</v>
      </c>
      <c r="C59" s="54" t="s">
        <v>14</v>
      </c>
      <c r="D59" s="60" t="s">
        <v>62</v>
      </c>
      <c r="E59" s="60" t="s">
        <v>113</v>
      </c>
      <c r="F59" s="60" t="s">
        <v>295</v>
      </c>
      <c r="G59" s="60" t="s">
        <v>14</v>
      </c>
      <c r="H59" s="60" t="s">
        <v>298</v>
      </c>
      <c r="I59" s="51" t="s">
        <v>298</v>
      </c>
      <c r="J59" s="60" t="s">
        <v>298</v>
      </c>
      <c r="K59" s="60" t="s">
        <v>298</v>
      </c>
      <c r="L59" s="60">
        <v>2</v>
      </c>
      <c r="M59" s="60">
        <v>10</v>
      </c>
      <c r="N59" s="60" t="s">
        <v>298</v>
      </c>
      <c r="O59" s="61" t="s">
        <v>298</v>
      </c>
      <c r="P59" s="72" t="s">
        <v>298</v>
      </c>
      <c r="Q59" s="59"/>
      <c r="R59" s="59"/>
    </row>
    <row r="60" spans="1:18" ht="48" x14ac:dyDescent="0.25">
      <c r="A60" s="1"/>
      <c r="B60" s="46">
        <f>ROW(B60) - ROW($B$9)</f>
        <v>51</v>
      </c>
      <c r="C60" s="53" t="s">
        <v>15</v>
      </c>
      <c r="D60" s="37" t="s">
        <v>63</v>
      </c>
      <c r="E60" s="37" t="s">
        <v>114</v>
      </c>
      <c r="F60" s="37" t="s">
        <v>295</v>
      </c>
      <c r="G60" s="37" t="s">
        <v>176</v>
      </c>
      <c r="H60" s="37" t="s">
        <v>195</v>
      </c>
      <c r="I60" s="51" t="s">
        <v>298</v>
      </c>
      <c r="J60" s="37" t="s">
        <v>239</v>
      </c>
      <c r="K60" s="37" t="s">
        <v>298</v>
      </c>
      <c r="L60" s="37">
        <v>9</v>
      </c>
      <c r="M60" s="51">
        <v>20</v>
      </c>
      <c r="N60" s="63" t="s">
        <v>297</v>
      </c>
      <c r="O60" s="38">
        <v>0.5171</v>
      </c>
      <c r="P60" s="72">
        <f t="shared" ref="P60:P61" si="24">O60*M60</f>
        <v>10.342000000000001</v>
      </c>
      <c r="Q60" s="59"/>
      <c r="R60" s="59"/>
    </row>
    <row r="61" spans="1:18" ht="24.75" thickBot="1" x14ac:dyDescent="0.3">
      <c r="B61" s="69">
        <f t="shared" si="0"/>
        <v>52</v>
      </c>
      <c r="C61" s="70" t="s">
        <v>309</v>
      </c>
      <c r="D61" s="59" t="s">
        <v>64</v>
      </c>
      <c r="E61" s="59" t="s">
        <v>115</v>
      </c>
      <c r="F61" s="59" t="s">
        <v>127</v>
      </c>
      <c r="G61" s="59" t="s">
        <v>177</v>
      </c>
      <c r="H61" s="59" t="s">
        <v>196</v>
      </c>
      <c r="I61" s="59" t="s">
        <v>298</v>
      </c>
      <c r="J61" s="59" t="s">
        <v>296</v>
      </c>
      <c r="K61" s="59" t="s">
        <v>298</v>
      </c>
      <c r="L61" s="59">
        <v>3</v>
      </c>
      <c r="M61" s="59">
        <v>10</v>
      </c>
      <c r="N61" s="71" t="s">
        <v>297</v>
      </c>
      <c r="O61" s="72">
        <v>0.1139</v>
      </c>
      <c r="P61" s="72">
        <f t="shared" si="24"/>
        <v>1.139</v>
      </c>
      <c r="Q61" s="59"/>
      <c r="R61" s="59"/>
    </row>
    <row r="62" spans="1:18" ht="19.5" thickBot="1" x14ac:dyDescent="0.3">
      <c r="B62" s="73"/>
      <c r="C62" s="74"/>
      <c r="D62" s="75"/>
      <c r="E62" s="76"/>
      <c r="F62" s="77"/>
      <c r="G62" s="78"/>
      <c r="H62" s="77"/>
      <c r="I62" s="78"/>
      <c r="J62" s="77"/>
      <c r="K62" s="78"/>
      <c r="L62" s="78"/>
      <c r="M62" s="96" t="s">
        <v>5</v>
      </c>
      <c r="N62" s="97"/>
      <c r="O62" s="97"/>
      <c r="P62" s="48">
        <f>SUM(P10:P61)</f>
        <v>39.1175</v>
      </c>
      <c r="Q62" s="78"/>
      <c r="R62" s="91"/>
    </row>
  </sheetData>
  <mergeCells count="3">
    <mergeCell ref="K1:R1"/>
    <mergeCell ref="R3:R8"/>
    <mergeCell ref="M62:O62"/>
  </mergeCells>
  <hyperlinks>
    <hyperlink ref="N10" r:id="rId1"/>
    <hyperlink ref="N11" r:id="rId2"/>
    <hyperlink ref="N12" r:id="rId3"/>
    <hyperlink ref="N14" r:id="rId4"/>
    <hyperlink ref="N15" r:id="rId5"/>
    <hyperlink ref="N17" r:id="rId6"/>
    <hyperlink ref="N19" r:id="rId7"/>
    <hyperlink ref="N20" r:id="rId8"/>
    <hyperlink ref="N23" r:id="rId9"/>
    <hyperlink ref="N24" r:id="rId10" display="lCSC"/>
    <hyperlink ref="N25" r:id="rId11"/>
    <hyperlink ref="N26" r:id="rId12"/>
    <hyperlink ref="N28" r:id="rId13"/>
    <hyperlink ref="N29" r:id="rId14"/>
    <hyperlink ref="N30" r:id="rId15"/>
    <hyperlink ref="N31" r:id="rId16"/>
    <hyperlink ref="N32" r:id="rId17"/>
    <hyperlink ref="N34" r:id="rId18"/>
    <hyperlink ref="N35" r:id="rId19"/>
    <hyperlink ref="N36" r:id="rId20"/>
    <hyperlink ref="N37" r:id="rId21"/>
    <hyperlink ref="N38" r:id="rId22"/>
    <hyperlink ref="N39" r:id="rId23"/>
    <hyperlink ref="N40" r:id="rId24"/>
    <hyperlink ref="N41" r:id="rId25"/>
    <hyperlink ref="N42" r:id="rId26"/>
    <hyperlink ref="N43" r:id="rId27"/>
    <hyperlink ref="N44" r:id="rId28"/>
    <hyperlink ref="N45" r:id="rId29"/>
    <hyperlink ref="N46" r:id="rId30"/>
    <hyperlink ref="N47" r:id="rId31"/>
    <hyperlink ref="N48" r:id="rId32"/>
    <hyperlink ref="N49" r:id="rId33"/>
    <hyperlink ref="N50" r:id="rId34"/>
    <hyperlink ref="N51" r:id="rId35"/>
    <hyperlink ref="N52" r:id="rId36"/>
    <hyperlink ref="N53" r:id="rId37"/>
    <hyperlink ref="N54" r:id="rId38"/>
    <hyperlink ref="N55" r:id="rId39"/>
    <hyperlink ref="N56" r:id="rId40"/>
    <hyperlink ref="N58" r:id="rId41"/>
    <hyperlink ref="N60" r:id="rId42"/>
    <hyperlink ref="N61" r:id="rId43"/>
    <hyperlink ref="N18" r:id="rId44"/>
    <hyperlink ref="N16" r:id="rId45"/>
    <hyperlink ref="N21" r:id="rId46"/>
    <hyperlink ref="N22" r:id="rId47"/>
    <hyperlink ref="N13" r:id="rId48"/>
    <hyperlink ref="N27" r:id="rId49"/>
    <hyperlink ref="N33" r:id="rId50"/>
    <hyperlink ref="N57" r:id="rId51"/>
  </hyperlinks>
  <pageMargins left="0.7" right="0.7" top="0.75" bottom="0.75" header="0.3" footer="0.3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opLeftCell="A48" workbookViewId="0">
      <selection activeCell="L64" sqref="L64"/>
    </sheetView>
  </sheetViews>
  <sheetFormatPr defaultRowHeight="15" x14ac:dyDescent="0.25"/>
  <cols>
    <col min="2" max="2" width="3" bestFit="1" customWidth="1"/>
    <col min="3" max="3" width="13.5703125" customWidth="1"/>
    <col min="4" max="4" width="18.28515625" customWidth="1"/>
    <col min="5" max="5" width="29.85546875" customWidth="1"/>
    <col min="6" max="6" width="10.85546875" customWidth="1"/>
    <col min="7" max="7" width="25.28515625" bestFit="1" customWidth="1"/>
    <col min="8" max="8" width="16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2851562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2"/>
      <c r="L1" s="92"/>
      <c r="M1" s="92"/>
      <c r="N1" s="92"/>
      <c r="O1" s="92"/>
      <c r="P1" s="92"/>
      <c r="Q1" s="92"/>
      <c r="R1" s="92"/>
      <c r="S1" s="9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284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285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4"/>
    </row>
    <row r="4" spans="1:19" x14ac:dyDescent="0.25">
      <c r="A4" s="1"/>
      <c r="B4" s="22"/>
      <c r="C4" s="32"/>
      <c r="D4" s="13" t="s">
        <v>2</v>
      </c>
      <c r="E4" s="13"/>
      <c r="F4" s="57" t="s">
        <v>285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5"/>
    </row>
    <row r="9" spans="1:19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65</v>
      </c>
      <c r="F9" s="30" t="s">
        <v>116</v>
      </c>
      <c r="G9" s="30" t="s">
        <v>128</v>
      </c>
      <c r="H9" s="30" t="s">
        <v>178</v>
      </c>
      <c r="I9" s="30" t="s">
        <v>286</v>
      </c>
      <c r="J9" s="30" t="s">
        <v>197</v>
      </c>
      <c r="K9" s="30" t="s">
        <v>287</v>
      </c>
      <c r="L9" s="30" t="s">
        <v>283</v>
      </c>
      <c r="M9" s="30" t="s">
        <v>310</v>
      </c>
      <c r="N9" s="30" t="s">
        <v>311</v>
      </c>
      <c r="O9" s="30" t="s">
        <v>290</v>
      </c>
      <c r="P9" s="30" t="s">
        <v>312</v>
      </c>
      <c r="Q9" s="30" t="s">
        <v>313</v>
      </c>
      <c r="R9" s="30" t="s">
        <v>293</v>
      </c>
      <c r="S9" s="30" t="s">
        <v>294</v>
      </c>
    </row>
    <row r="10" spans="1:19" s="68" customFormat="1" x14ac:dyDescent="0.25">
      <c r="A10" s="66"/>
      <c r="B10" s="46">
        <f>ROW(B10) - ROW($B$9)</f>
        <v>1</v>
      </c>
      <c r="C10" s="54" t="s">
        <v>9</v>
      </c>
      <c r="D10" s="79" t="s">
        <v>17</v>
      </c>
      <c r="E10" s="37" t="s">
        <v>66</v>
      </c>
      <c r="F10" s="37" t="s">
        <v>117</v>
      </c>
      <c r="G10" s="37" t="s">
        <v>129</v>
      </c>
      <c r="H10" s="37" t="s">
        <v>179</v>
      </c>
      <c r="I10" s="37" t="s">
        <v>298</v>
      </c>
      <c r="J10" s="37" t="s">
        <v>198</v>
      </c>
      <c r="K10" s="37" t="s">
        <v>240</v>
      </c>
      <c r="L10" s="37">
        <v>4</v>
      </c>
      <c r="M10" s="37">
        <f>L10*2</f>
        <v>8</v>
      </c>
      <c r="N10" s="37">
        <v>100</v>
      </c>
      <c r="O10" s="63" t="s">
        <v>297</v>
      </c>
      <c r="P10" s="38">
        <v>6.0000000000000001E-3</v>
      </c>
      <c r="Q10" s="38">
        <f>P10*N10</f>
        <v>0.6</v>
      </c>
      <c r="R10" s="37"/>
      <c r="S10" s="67"/>
    </row>
    <row r="11" spans="1:19" s="68" customFormat="1" x14ac:dyDescent="0.25">
      <c r="A11" s="66"/>
      <c r="B11" s="47">
        <f t="shared" ref="B11:B61" si="0">ROW(B11) - ROW($B$9)</f>
        <v>2</v>
      </c>
      <c r="C11" s="54" t="s">
        <v>9</v>
      </c>
      <c r="D11" s="80" t="s">
        <v>18</v>
      </c>
      <c r="E11" s="51" t="s">
        <v>67</v>
      </c>
      <c r="F11" s="51" t="s">
        <v>118</v>
      </c>
      <c r="G11" s="51" t="s">
        <v>130</v>
      </c>
      <c r="H11" s="51" t="s">
        <v>180</v>
      </c>
      <c r="I11" s="51" t="s">
        <v>298</v>
      </c>
      <c r="J11" s="51" t="s">
        <v>199</v>
      </c>
      <c r="K11" s="51" t="s">
        <v>241</v>
      </c>
      <c r="L11" s="51">
        <v>4</v>
      </c>
      <c r="M11" s="37">
        <f t="shared" ref="M11:M61" si="1">L11*2</f>
        <v>8</v>
      </c>
      <c r="N11" s="51">
        <v>20</v>
      </c>
      <c r="O11" s="64" t="s">
        <v>297</v>
      </c>
      <c r="P11" s="52">
        <v>2.8899999999999999E-2</v>
      </c>
      <c r="Q11" s="52">
        <f t="shared" ref="Q11" si="2">P11*N11</f>
        <v>0.57799999999999996</v>
      </c>
      <c r="R11" s="51"/>
      <c r="S11" s="51"/>
    </row>
    <row r="12" spans="1:19" s="68" customFormat="1" x14ac:dyDescent="0.25">
      <c r="A12" s="66"/>
      <c r="B12" s="46">
        <f>ROW(B12) - ROW($B$9)</f>
        <v>3</v>
      </c>
      <c r="C12" s="53" t="s">
        <v>9</v>
      </c>
      <c r="D12" s="79" t="s">
        <v>19</v>
      </c>
      <c r="E12" s="37" t="s">
        <v>68</v>
      </c>
      <c r="F12" s="37" t="s">
        <v>118</v>
      </c>
      <c r="G12" s="37" t="s">
        <v>131</v>
      </c>
      <c r="H12" s="37" t="s">
        <v>181</v>
      </c>
      <c r="I12" s="37" t="s">
        <v>298</v>
      </c>
      <c r="J12" s="37" t="s">
        <v>200</v>
      </c>
      <c r="K12" s="37" t="s">
        <v>242</v>
      </c>
      <c r="L12" s="37">
        <v>1</v>
      </c>
      <c r="M12" s="37">
        <f t="shared" si="1"/>
        <v>2</v>
      </c>
      <c r="N12" s="37">
        <v>50</v>
      </c>
      <c r="O12" s="63" t="s">
        <v>297</v>
      </c>
      <c r="P12" s="38">
        <v>8.5000000000000006E-3</v>
      </c>
      <c r="Q12" s="38">
        <f>P12*N12</f>
        <v>0.42500000000000004</v>
      </c>
      <c r="R12" s="37"/>
      <c r="S12" s="59"/>
    </row>
    <row r="13" spans="1:19" s="68" customFormat="1" x14ac:dyDescent="0.25">
      <c r="A13" s="66"/>
      <c r="B13" s="47">
        <f t="shared" si="0"/>
        <v>4</v>
      </c>
      <c r="C13" s="54" t="s">
        <v>9</v>
      </c>
      <c r="D13" s="80" t="s">
        <v>20</v>
      </c>
      <c r="E13" s="51" t="s">
        <v>69</v>
      </c>
      <c r="F13" s="51" t="s">
        <v>118</v>
      </c>
      <c r="G13" s="60" t="s">
        <v>132</v>
      </c>
      <c r="H13" s="51" t="s">
        <v>182</v>
      </c>
      <c r="I13" s="51" t="s">
        <v>307</v>
      </c>
      <c r="J13" s="51" t="s">
        <v>308</v>
      </c>
      <c r="K13" s="51" t="s">
        <v>243</v>
      </c>
      <c r="L13" s="51">
        <v>1</v>
      </c>
      <c r="M13" s="37">
        <f t="shared" si="1"/>
        <v>2</v>
      </c>
      <c r="N13" s="51">
        <v>100</v>
      </c>
      <c r="O13" s="64" t="s">
        <v>297</v>
      </c>
      <c r="P13" s="52">
        <v>3.0000000000000001E-3</v>
      </c>
      <c r="Q13" s="52">
        <f t="shared" ref="Q13" si="3">P13*N13</f>
        <v>0.3</v>
      </c>
      <c r="R13" s="51"/>
      <c r="S13" s="59"/>
    </row>
    <row r="14" spans="1:19" s="68" customFormat="1" x14ac:dyDescent="0.25">
      <c r="A14" s="66"/>
      <c r="B14" s="46">
        <f>ROW(B14) - ROW($B$9)</f>
        <v>5</v>
      </c>
      <c r="C14" s="53" t="s">
        <v>9</v>
      </c>
      <c r="D14" s="79" t="s">
        <v>21</v>
      </c>
      <c r="E14" s="37" t="s">
        <v>70</v>
      </c>
      <c r="F14" s="37" t="s">
        <v>118</v>
      </c>
      <c r="G14" s="37" t="s">
        <v>133</v>
      </c>
      <c r="H14" s="37" t="s">
        <v>181</v>
      </c>
      <c r="I14" s="37" t="s">
        <v>298</v>
      </c>
      <c r="J14" s="37" t="s">
        <v>201</v>
      </c>
      <c r="K14" s="37" t="s">
        <v>244</v>
      </c>
      <c r="L14" s="37">
        <v>1</v>
      </c>
      <c r="M14" s="37">
        <f t="shared" si="1"/>
        <v>2</v>
      </c>
      <c r="N14" s="37">
        <v>20</v>
      </c>
      <c r="O14" s="63" t="s">
        <v>297</v>
      </c>
      <c r="P14" s="38">
        <v>2.1700000000000001E-2</v>
      </c>
      <c r="Q14" s="38">
        <f>P14*N14</f>
        <v>0.434</v>
      </c>
      <c r="R14" s="37"/>
      <c r="S14" s="59"/>
    </row>
    <row r="15" spans="1:19" s="68" customFormat="1" x14ac:dyDescent="0.25">
      <c r="A15" s="66"/>
      <c r="B15" s="47">
        <f t="shared" si="0"/>
        <v>6</v>
      </c>
      <c r="C15" s="54" t="s">
        <v>9</v>
      </c>
      <c r="D15" s="80" t="s">
        <v>22</v>
      </c>
      <c r="E15" s="51" t="s">
        <v>71</v>
      </c>
      <c r="F15" s="51" t="s">
        <v>295</v>
      </c>
      <c r="G15" s="51" t="s">
        <v>134</v>
      </c>
      <c r="H15" s="51" t="s">
        <v>183</v>
      </c>
      <c r="I15" s="51" t="s">
        <v>298</v>
      </c>
      <c r="J15" s="51" t="s">
        <v>202</v>
      </c>
      <c r="K15" s="51" t="s">
        <v>245</v>
      </c>
      <c r="L15" s="51">
        <v>2</v>
      </c>
      <c r="M15" s="37">
        <f t="shared" si="1"/>
        <v>4</v>
      </c>
      <c r="N15" s="51">
        <v>20</v>
      </c>
      <c r="O15" s="64" t="s">
        <v>297</v>
      </c>
      <c r="P15" s="52">
        <v>2.7900000000000001E-2</v>
      </c>
      <c r="Q15" s="52">
        <f t="shared" ref="Q15" si="4">P15*N15</f>
        <v>0.55800000000000005</v>
      </c>
      <c r="R15" s="51"/>
      <c r="S15" s="59"/>
    </row>
    <row r="16" spans="1:19" s="68" customFormat="1" x14ac:dyDescent="0.25">
      <c r="A16" s="66"/>
      <c r="B16" s="46">
        <f>ROW(B16) - ROW($B$9)</f>
        <v>7</v>
      </c>
      <c r="C16" s="54" t="s">
        <v>9</v>
      </c>
      <c r="D16" s="79" t="s">
        <v>23</v>
      </c>
      <c r="E16" s="37" t="s">
        <v>72</v>
      </c>
      <c r="F16" s="37" t="s">
        <v>118</v>
      </c>
      <c r="G16" s="65" t="s">
        <v>135</v>
      </c>
      <c r="H16" s="37" t="s">
        <v>182</v>
      </c>
      <c r="I16" s="37" t="s">
        <v>302</v>
      </c>
      <c r="J16" s="37" t="s">
        <v>301</v>
      </c>
      <c r="K16" s="37" t="s">
        <v>246</v>
      </c>
      <c r="L16" s="37">
        <v>1</v>
      </c>
      <c r="M16" s="37">
        <f t="shared" si="1"/>
        <v>2</v>
      </c>
      <c r="N16" s="37">
        <v>50</v>
      </c>
      <c r="O16" s="63" t="s">
        <v>297</v>
      </c>
      <c r="P16" s="38">
        <v>8.9999999999999993E-3</v>
      </c>
      <c r="Q16" s="38">
        <f>P16*N16</f>
        <v>0.44999999999999996</v>
      </c>
      <c r="R16" s="37"/>
      <c r="S16" s="59"/>
    </row>
    <row r="17" spans="1:19" s="68" customFormat="1" ht="36" x14ac:dyDescent="0.25">
      <c r="A17" s="66"/>
      <c r="B17" s="47">
        <f t="shared" si="0"/>
        <v>8</v>
      </c>
      <c r="C17" s="54" t="s">
        <v>9</v>
      </c>
      <c r="D17" s="80" t="s">
        <v>24</v>
      </c>
      <c r="E17" s="51" t="s">
        <v>73</v>
      </c>
      <c r="F17" s="51" t="s">
        <v>119</v>
      </c>
      <c r="G17" s="51" t="s">
        <v>136</v>
      </c>
      <c r="H17" s="51" t="s">
        <v>184</v>
      </c>
      <c r="I17" s="51" t="s">
        <v>298</v>
      </c>
      <c r="J17" s="51" t="s">
        <v>203</v>
      </c>
      <c r="K17" s="51" t="s">
        <v>247</v>
      </c>
      <c r="L17" s="51">
        <v>1</v>
      </c>
      <c r="M17" s="37">
        <f t="shared" si="1"/>
        <v>2</v>
      </c>
      <c r="N17" s="51">
        <v>50</v>
      </c>
      <c r="O17" s="64" t="s">
        <v>297</v>
      </c>
      <c r="P17" s="52">
        <v>9.1999999999999998E-3</v>
      </c>
      <c r="Q17" s="52">
        <f t="shared" ref="Q17" si="5">P17*N17</f>
        <v>0.45999999999999996</v>
      </c>
      <c r="R17" s="51"/>
      <c r="S17" s="59"/>
    </row>
    <row r="18" spans="1:19" s="68" customFormat="1" x14ac:dyDescent="0.25">
      <c r="A18" s="66"/>
      <c r="B18" s="46">
        <f>ROW(B18) - ROW($B$9)</f>
        <v>9</v>
      </c>
      <c r="C18" s="54" t="s">
        <v>9</v>
      </c>
      <c r="D18" s="79" t="s">
        <v>25</v>
      </c>
      <c r="E18" s="37" t="s">
        <v>74</v>
      </c>
      <c r="F18" s="37" t="s">
        <v>119</v>
      </c>
      <c r="G18" s="65" t="s">
        <v>137</v>
      </c>
      <c r="H18" s="37" t="s">
        <v>185</v>
      </c>
      <c r="I18" s="37" t="s">
        <v>299</v>
      </c>
      <c r="J18" s="37" t="s">
        <v>300</v>
      </c>
      <c r="K18" s="37" t="s">
        <v>248</v>
      </c>
      <c r="L18" s="37">
        <v>1</v>
      </c>
      <c r="M18" s="37">
        <f t="shared" si="1"/>
        <v>2</v>
      </c>
      <c r="N18" s="37">
        <v>100</v>
      </c>
      <c r="O18" s="63" t="s">
        <v>297</v>
      </c>
      <c r="P18" s="38">
        <v>3.8E-3</v>
      </c>
      <c r="Q18" s="38">
        <f>P18*N18</f>
        <v>0.38</v>
      </c>
      <c r="R18" s="37"/>
      <c r="S18" s="59"/>
    </row>
    <row r="19" spans="1:19" s="68" customFormat="1" ht="36" x14ac:dyDescent="0.25">
      <c r="A19" s="66"/>
      <c r="B19" s="47">
        <f t="shared" si="0"/>
        <v>10</v>
      </c>
      <c r="C19" s="54" t="s">
        <v>9</v>
      </c>
      <c r="D19" s="80" t="s">
        <v>26</v>
      </c>
      <c r="E19" s="51" t="s">
        <v>75</v>
      </c>
      <c r="F19" s="51" t="s">
        <v>120</v>
      </c>
      <c r="G19" s="51" t="s">
        <v>138</v>
      </c>
      <c r="H19" s="51" t="s">
        <v>184</v>
      </c>
      <c r="I19" s="51" t="s">
        <v>298</v>
      </c>
      <c r="J19" s="51" t="s">
        <v>204</v>
      </c>
      <c r="K19" s="51" t="s">
        <v>240</v>
      </c>
      <c r="L19" s="51">
        <v>2</v>
      </c>
      <c r="M19" s="37">
        <f t="shared" si="1"/>
        <v>4</v>
      </c>
      <c r="N19" s="51">
        <v>5</v>
      </c>
      <c r="O19" s="64" t="s">
        <v>297</v>
      </c>
      <c r="P19" s="52">
        <v>0.41370000000000001</v>
      </c>
      <c r="Q19" s="52">
        <f t="shared" ref="Q19" si="6">P19*N19</f>
        <v>2.0685000000000002</v>
      </c>
      <c r="R19" s="51"/>
      <c r="S19" s="59"/>
    </row>
    <row r="20" spans="1:19" s="68" customFormat="1" ht="36" x14ac:dyDescent="0.25">
      <c r="A20" s="66"/>
      <c r="B20" s="46">
        <f>ROW(B20) - ROW($B$9)</f>
        <v>11</v>
      </c>
      <c r="C20" s="54" t="s">
        <v>9</v>
      </c>
      <c r="D20" s="79" t="s">
        <v>27</v>
      </c>
      <c r="E20" s="37" t="s">
        <v>76</v>
      </c>
      <c r="F20" s="37" t="s">
        <v>121</v>
      </c>
      <c r="G20" s="37" t="s">
        <v>139</v>
      </c>
      <c r="H20" s="37" t="s">
        <v>186</v>
      </c>
      <c r="I20" s="37" t="s">
        <v>298</v>
      </c>
      <c r="J20" s="37" t="s">
        <v>205</v>
      </c>
      <c r="K20" s="37" t="s">
        <v>249</v>
      </c>
      <c r="L20" s="37">
        <v>1</v>
      </c>
      <c r="M20" s="37">
        <f t="shared" si="1"/>
        <v>2</v>
      </c>
      <c r="N20" s="37">
        <v>50</v>
      </c>
      <c r="O20" s="63" t="s">
        <v>297</v>
      </c>
      <c r="P20" s="38">
        <v>1.29E-2</v>
      </c>
      <c r="Q20" s="38">
        <f>P20*N20</f>
        <v>0.64500000000000002</v>
      </c>
      <c r="R20" s="37"/>
      <c r="S20" s="59"/>
    </row>
    <row r="21" spans="1:19" s="68" customFormat="1" x14ac:dyDescent="0.25">
      <c r="A21" s="66"/>
      <c r="B21" s="47">
        <f t="shared" si="0"/>
        <v>12</v>
      </c>
      <c r="C21" s="54" t="s">
        <v>9</v>
      </c>
      <c r="D21" s="80" t="s">
        <v>28</v>
      </c>
      <c r="E21" s="51" t="s">
        <v>77</v>
      </c>
      <c r="F21" s="51" t="s">
        <v>120</v>
      </c>
      <c r="G21" s="65" t="s">
        <v>140</v>
      </c>
      <c r="H21" s="51" t="s">
        <v>182</v>
      </c>
      <c r="I21" s="51" t="s">
        <v>303</v>
      </c>
      <c r="J21" s="51" t="s">
        <v>304</v>
      </c>
      <c r="K21" s="51" t="s">
        <v>250</v>
      </c>
      <c r="L21" s="51">
        <v>1</v>
      </c>
      <c r="M21" s="37">
        <f t="shared" si="1"/>
        <v>2</v>
      </c>
      <c r="N21" s="51">
        <v>3</v>
      </c>
      <c r="O21" s="64" t="s">
        <v>297</v>
      </c>
      <c r="P21" s="52">
        <v>0.31819999999999998</v>
      </c>
      <c r="Q21" s="52">
        <f t="shared" ref="Q21" si="7">P21*N21</f>
        <v>0.95459999999999989</v>
      </c>
      <c r="R21" s="51"/>
      <c r="S21" s="59"/>
    </row>
    <row r="22" spans="1:19" s="68" customFormat="1" x14ac:dyDescent="0.25">
      <c r="A22" s="66"/>
      <c r="B22" s="46">
        <f>ROW(B22) - ROW($B$9)</f>
        <v>13</v>
      </c>
      <c r="C22" s="54" t="s">
        <v>9</v>
      </c>
      <c r="D22" s="79" t="s">
        <v>29</v>
      </c>
      <c r="E22" s="37" t="s">
        <v>78</v>
      </c>
      <c r="F22" s="37" t="s">
        <v>119</v>
      </c>
      <c r="G22" s="65" t="s">
        <v>141</v>
      </c>
      <c r="H22" s="37" t="s">
        <v>187</v>
      </c>
      <c r="I22" s="37" t="s">
        <v>305</v>
      </c>
      <c r="J22" s="37" t="s">
        <v>306</v>
      </c>
      <c r="K22" s="37" t="s">
        <v>251</v>
      </c>
      <c r="L22" s="37">
        <v>1</v>
      </c>
      <c r="M22" s="37">
        <f t="shared" si="1"/>
        <v>2</v>
      </c>
      <c r="N22" s="37">
        <v>50</v>
      </c>
      <c r="O22" s="63" t="s">
        <v>297</v>
      </c>
      <c r="P22" s="38">
        <v>5.1000000000000004E-3</v>
      </c>
      <c r="Q22" s="38">
        <f>P22*N22</f>
        <v>0.255</v>
      </c>
      <c r="R22" s="37"/>
      <c r="S22" s="59"/>
    </row>
    <row r="23" spans="1:19" s="68" customFormat="1" x14ac:dyDescent="0.25">
      <c r="A23" s="66"/>
      <c r="B23" s="47">
        <f t="shared" si="0"/>
        <v>14</v>
      </c>
      <c r="C23" s="54" t="s">
        <v>9</v>
      </c>
      <c r="D23" s="80" t="s">
        <v>30</v>
      </c>
      <c r="E23" s="51" t="s">
        <v>79</v>
      </c>
      <c r="F23" s="51" t="s">
        <v>118</v>
      </c>
      <c r="G23" s="51" t="s">
        <v>142</v>
      </c>
      <c r="H23" s="51" t="s">
        <v>187</v>
      </c>
      <c r="I23" s="51" t="s">
        <v>298</v>
      </c>
      <c r="J23" s="51" t="s">
        <v>206</v>
      </c>
      <c r="K23" s="51" t="s">
        <v>252</v>
      </c>
      <c r="L23" s="51">
        <v>1</v>
      </c>
      <c r="M23" s="37">
        <f t="shared" si="1"/>
        <v>2</v>
      </c>
      <c r="N23" s="51">
        <v>10</v>
      </c>
      <c r="O23" s="64" t="s">
        <v>297</v>
      </c>
      <c r="P23" s="52">
        <v>6.9199999999999998E-2</v>
      </c>
      <c r="Q23" s="52">
        <f t="shared" ref="Q23" si="8">P23*N23</f>
        <v>0.69199999999999995</v>
      </c>
      <c r="R23" s="51"/>
      <c r="S23" s="59"/>
    </row>
    <row r="24" spans="1:19" s="68" customFormat="1" ht="36" x14ac:dyDescent="0.25">
      <c r="A24" s="66"/>
      <c r="B24" s="46">
        <f>ROW(B24) - ROW($B$9)</f>
        <v>15</v>
      </c>
      <c r="C24" s="53" t="s">
        <v>10</v>
      </c>
      <c r="D24" s="79" t="s">
        <v>31</v>
      </c>
      <c r="E24" s="37" t="s">
        <v>80</v>
      </c>
      <c r="F24" s="37" t="s">
        <v>122</v>
      </c>
      <c r="G24" s="37" t="s">
        <v>143</v>
      </c>
      <c r="H24" s="37" t="s">
        <v>188</v>
      </c>
      <c r="I24" s="37" t="s">
        <v>298</v>
      </c>
      <c r="J24" s="37" t="s">
        <v>207</v>
      </c>
      <c r="K24" s="37" t="s">
        <v>298</v>
      </c>
      <c r="L24" s="37">
        <v>1</v>
      </c>
      <c r="M24" s="37">
        <f t="shared" si="1"/>
        <v>2</v>
      </c>
      <c r="N24" s="37">
        <v>5</v>
      </c>
      <c r="O24" s="63" t="s">
        <v>297</v>
      </c>
      <c r="P24" s="38">
        <v>8.3599999999999994E-2</v>
      </c>
      <c r="Q24" s="38">
        <f>P24*N24</f>
        <v>0.41799999999999998</v>
      </c>
      <c r="R24" s="37"/>
      <c r="S24" s="59"/>
    </row>
    <row r="25" spans="1:19" s="68" customFormat="1" ht="36" x14ac:dyDescent="0.25">
      <c r="A25" s="66"/>
      <c r="B25" s="47">
        <f t="shared" si="0"/>
        <v>16</v>
      </c>
      <c r="C25" s="54" t="s">
        <v>10</v>
      </c>
      <c r="D25" s="80" t="s">
        <v>32</v>
      </c>
      <c r="E25" s="51" t="s">
        <v>81</v>
      </c>
      <c r="F25" s="51" t="s">
        <v>123</v>
      </c>
      <c r="G25" s="51" t="s">
        <v>144</v>
      </c>
      <c r="H25" s="51" t="s">
        <v>189</v>
      </c>
      <c r="I25" s="51" t="s">
        <v>298</v>
      </c>
      <c r="J25" s="51" t="s">
        <v>144</v>
      </c>
      <c r="K25" s="51" t="s">
        <v>298</v>
      </c>
      <c r="L25" s="51">
        <v>1</v>
      </c>
      <c r="M25" s="37">
        <f t="shared" si="1"/>
        <v>2</v>
      </c>
      <c r="N25" s="51">
        <v>50</v>
      </c>
      <c r="O25" s="64" t="s">
        <v>297</v>
      </c>
      <c r="P25" s="52">
        <v>1.41E-2</v>
      </c>
      <c r="Q25" s="52">
        <f t="shared" ref="Q25" si="9">P25*N25</f>
        <v>0.70499999999999996</v>
      </c>
      <c r="R25" s="51"/>
      <c r="S25" s="59"/>
    </row>
    <row r="26" spans="1:19" s="68" customFormat="1" ht="36" x14ac:dyDescent="0.25">
      <c r="A26" s="66"/>
      <c r="B26" s="46">
        <f>ROW(B26) - ROW($B$9)</f>
        <v>17</v>
      </c>
      <c r="C26" s="53" t="s">
        <v>11</v>
      </c>
      <c r="D26" s="79" t="s">
        <v>33</v>
      </c>
      <c r="E26" s="37" t="s">
        <v>82</v>
      </c>
      <c r="F26" s="37" t="s">
        <v>295</v>
      </c>
      <c r="G26" s="37" t="s">
        <v>145</v>
      </c>
      <c r="H26" s="37" t="s">
        <v>190</v>
      </c>
      <c r="I26" s="37" t="s">
        <v>298</v>
      </c>
      <c r="J26" s="37" t="s">
        <v>208</v>
      </c>
      <c r="K26" s="37" t="s">
        <v>298</v>
      </c>
      <c r="L26" s="37">
        <v>1</v>
      </c>
      <c r="M26" s="37">
        <f t="shared" si="1"/>
        <v>2</v>
      </c>
      <c r="N26" s="37">
        <v>3</v>
      </c>
      <c r="O26" s="63" t="s">
        <v>297</v>
      </c>
      <c r="P26" s="38">
        <v>0.17749999999999999</v>
      </c>
      <c r="Q26" s="38">
        <f>P26*N26</f>
        <v>0.53249999999999997</v>
      </c>
      <c r="R26" s="37"/>
      <c r="S26" s="59"/>
    </row>
    <row r="27" spans="1:19" s="68" customFormat="1" ht="36" x14ac:dyDescent="0.25">
      <c r="A27" s="66"/>
      <c r="B27" s="47">
        <f t="shared" si="0"/>
        <v>18</v>
      </c>
      <c r="C27" s="54" t="s">
        <v>13</v>
      </c>
      <c r="D27" s="80" t="s">
        <v>314</v>
      </c>
      <c r="E27" s="51" t="s">
        <v>315</v>
      </c>
      <c r="F27" s="51" t="s">
        <v>295</v>
      </c>
      <c r="G27" s="51" t="s">
        <v>316</v>
      </c>
      <c r="H27" s="51" t="s">
        <v>317</v>
      </c>
      <c r="I27" s="51" t="s">
        <v>298</v>
      </c>
      <c r="J27" s="51" t="s">
        <v>318</v>
      </c>
      <c r="K27" s="51" t="s">
        <v>253</v>
      </c>
      <c r="L27" s="51">
        <v>2</v>
      </c>
      <c r="M27" s="37">
        <f t="shared" si="1"/>
        <v>4</v>
      </c>
      <c r="N27" s="51">
        <v>5</v>
      </c>
      <c r="O27" s="64" t="s">
        <v>297</v>
      </c>
      <c r="P27" s="52">
        <v>0.30580000000000002</v>
      </c>
      <c r="Q27" s="52">
        <f t="shared" ref="Q27" si="10">P27*N27</f>
        <v>1.5290000000000001</v>
      </c>
      <c r="R27" s="51"/>
      <c r="S27" s="59"/>
    </row>
    <row r="28" spans="1:19" s="68" customFormat="1" ht="36" x14ac:dyDescent="0.25">
      <c r="A28" s="66"/>
      <c r="B28" s="46">
        <f>ROW(B28) - ROW($B$9)</f>
        <v>19</v>
      </c>
      <c r="C28" s="53" t="s">
        <v>12</v>
      </c>
      <c r="D28" s="79" t="s">
        <v>34</v>
      </c>
      <c r="E28" s="37" t="s">
        <v>84</v>
      </c>
      <c r="F28" s="37" t="s">
        <v>124</v>
      </c>
      <c r="G28" s="37" t="s">
        <v>147</v>
      </c>
      <c r="H28" s="37" t="s">
        <v>181</v>
      </c>
      <c r="I28" s="37" t="s">
        <v>298</v>
      </c>
      <c r="J28" s="37" t="s">
        <v>210</v>
      </c>
      <c r="K28" s="37" t="s">
        <v>254</v>
      </c>
      <c r="L28" s="37">
        <v>13</v>
      </c>
      <c r="M28" s="37">
        <f t="shared" si="1"/>
        <v>26</v>
      </c>
      <c r="N28" s="37">
        <v>40</v>
      </c>
      <c r="O28" s="63" t="s">
        <v>297</v>
      </c>
      <c r="P28" s="38">
        <v>2.23E-2</v>
      </c>
      <c r="Q28" s="38">
        <f>P28*N28</f>
        <v>0.89200000000000002</v>
      </c>
      <c r="R28" s="37"/>
      <c r="S28" s="59"/>
    </row>
    <row r="29" spans="1:19" s="68" customFormat="1" ht="24" x14ac:dyDescent="0.25">
      <c r="A29" s="66"/>
      <c r="B29" s="47">
        <f t="shared" si="0"/>
        <v>20</v>
      </c>
      <c r="C29" s="54" t="s">
        <v>13</v>
      </c>
      <c r="D29" s="80" t="s">
        <v>319</v>
      </c>
      <c r="E29" s="51" t="s">
        <v>85</v>
      </c>
      <c r="F29" s="51" t="s">
        <v>295</v>
      </c>
      <c r="G29" s="51" t="s">
        <v>148</v>
      </c>
      <c r="H29" s="51" t="s">
        <v>192</v>
      </c>
      <c r="I29" s="51" t="s">
        <v>298</v>
      </c>
      <c r="J29" s="51" t="s">
        <v>211</v>
      </c>
      <c r="K29" s="51" t="s">
        <v>255</v>
      </c>
      <c r="L29" s="51">
        <v>1</v>
      </c>
      <c r="M29" s="37">
        <f t="shared" si="1"/>
        <v>2</v>
      </c>
      <c r="N29" s="51">
        <v>10</v>
      </c>
      <c r="O29" s="64" t="s">
        <v>297</v>
      </c>
      <c r="P29" s="52">
        <v>7.5499999999999998E-2</v>
      </c>
      <c r="Q29" s="52">
        <f t="shared" ref="Q29" si="11">P29*N29</f>
        <v>0.755</v>
      </c>
      <c r="R29" s="51"/>
      <c r="S29" s="59"/>
    </row>
    <row r="30" spans="1:19" s="68" customFormat="1" x14ac:dyDescent="0.25">
      <c r="A30" s="66"/>
      <c r="B30" s="46">
        <f>ROW(B30) - ROW($B$9)</f>
        <v>21</v>
      </c>
      <c r="C30" s="53" t="s">
        <v>12</v>
      </c>
      <c r="D30" s="79" t="s">
        <v>35</v>
      </c>
      <c r="E30" s="37" t="s">
        <v>86</v>
      </c>
      <c r="F30" s="37" t="s">
        <v>124</v>
      </c>
      <c r="G30" s="37" t="s">
        <v>149</v>
      </c>
      <c r="H30" s="37" t="s">
        <v>181</v>
      </c>
      <c r="I30" s="37" t="s">
        <v>298</v>
      </c>
      <c r="J30" s="37" t="s">
        <v>212</v>
      </c>
      <c r="K30" s="37" t="s">
        <v>256</v>
      </c>
      <c r="L30" s="37">
        <v>4</v>
      </c>
      <c r="M30" s="37">
        <f t="shared" si="1"/>
        <v>8</v>
      </c>
      <c r="N30" s="37">
        <v>20</v>
      </c>
      <c r="O30" s="63" t="s">
        <v>297</v>
      </c>
      <c r="P30" s="38">
        <v>2.2499999999999999E-2</v>
      </c>
      <c r="Q30" s="38">
        <f>P30*N30</f>
        <v>0.44999999999999996</v>
      </c>
      <c r="R30" s="37"/>
      <c r="S30" s="59"/>
    </row>
    <row r="31" spans="1:19" s="68" customFormat="1" x14ac:dyDescent="0.25">
      <c r="A31" s="66"/>
      <c r="B31" s="47">
        <f t="shared" si="0"/>
        <v>22</v>
      </c>
      <c r="C31" s="54" t="s">
        <v>12</v>
      </c>
      <c r="D31" s="80" t="s">
        <v>36</v>
      </c>
      <c r="E31" s="51" t="s">
        <v>87</v>
      </c>
      <c r="F31" s="51" t="s">
        <v>124</v>
      </c>
      <c r="G31" s="51" t="s">
        <v>150</v>
      </c>
      <c r="H31" s="51" t="s">
        <v>181</v>
      </c>
      <c r="I31" s="51" t="s">
        <v>298</v>
      </c>
      <c r="J31" s="51" t="s">
        <v>213</v>
      </c>
      <c r="K31" s="51" t="s">
        <v>257</v>
      </c>
      <c r="L31" s="51">
        <v>2</v>
      </c>
      <c r="M31" s="37">
        <f t="shared" si="1"/>
        <v>4</v>
      </c>
      <c r="N31" s="51">
        <v>20</v>
      </c>
      <c r="O31" s="64" t="s">
        <v>297</v>
      </c>
      <c r="P31" s="52">
        <v>0.03</v>
      </c>
      <c r="Q31" s="52">
        <f t="shared" ref="Q31" si="12">P31*N31</f>
        <v>0.6</v>
      </c>
      <c r="R31" s="51"/>
      <c r="S31" s="59"/>
    </row>
    <row r="32" spans="1:19" s="68" customFormat="1" x14ac:dyDescent="0.25">
      <c r="A32" s="66"/>
      <c r="B32" s="46">
        <f>ROW(B32) - ROW($B$9)</f>
        <v>23</v>
      </c>
      <c r="C32" s="53" t="s">
        <v>12</v>
      </c>
      <c r="D32" s="79" t="s">
        <v>37</v>
      </c>
      <c r="E32" s="37" t="s">
        <v>88</v>
      </c>
      <c r="F32" s="37" t="s">
        <v>124</v>
      </c>
      <c r="G32" s="37" t="s">
        <v>151</v>
      </c>
      <c r="H32" s="37" t="s">
        <v>181</v>
      </c>
      <c r="I32" s="37" t="s">
        <v>298</v>
      </c>
      <c r="J32" s="37" t="s">
        <v>214</v>
      </c>
      <c r="K32" s="37" t="s">
        <v>258</v>
      </c>
      <c r="L32" s="37">
        <v>1</v>
      </c>
      <c r="M32" s="37">
        <f t="shared" si="1"/>
        <v>2</v>
      </c>
      <c r="N32" s="37">
        <v>20</v>
      </c>
      <c r="O32" s="63" t="s">
        <v>297</v>
      </c>
      <c r="P32" s="38">
        <v>2.8400000000000002E-2</v>
      </c>
      <c r="Q32" s="38">
        <f>P32*N32</f>
        <v>0.56800000000000006</v>
      </c>
      <c r="R32" s="37"/>
      <c r="S32" s="59"/>
    </row>
    <row r="33" spans="1:19" s="68" customFormat="1" ht="24" x14ac:dyDescent="0.25">
      <c r="A33" s="66"/>
      <c r="B33" s="46">
        <f>ROW(B33) - ROW($B$9)</f>
        <v>24</v>
      </c>
      <c r="C33" s="54" t="s">
        <v>13</v>
      </c>
      <c r="D33" s="80" t="s">
        <v>320</v>
      </c>
      <c r="E33" s="51" t="s">
        <v>321</v>
      </c>
      <c r="F33" s="51" t="s">
        <v>295</v>
      </c>
      <c r="G33" s="51" t="s">
        <v>322</v>
      </c>
      <c r="H33" s="51" t="s">
        <v>317</v>
      </c>
      <c r="I33" s="37" t="s">
        <v>298</v>
      </c>
      <c r="J33" s="51" t="s">
        <v>323</v>
      </c>
      <c r="K33" s="51" t="s">
        <v>255</v>
      </c>
      <c r="L33" s="51">
        <v>1</v>
      </c>
      <c r="M33" s="37">
        <f t="shared" si="1"/>
        <v>2</v>
      </c>
      <c r="N33" s="51">
        <v>5</v>
      </c>
      <c r="O33" s="63" t="s">
        <v>297</v>
      </c>
      <c r="P33" s="38">
        <v>0.34499999999999997</v>
      </c>
      <c r="Q33" s="52">
        <f t="shared" ref="Q33" si="13">P33*N33</f>
        <v>1.7249999999999999</v>
      </c>
      <c r="R33" s="51"/>
      <c r="S33" s="59"/>
    </row>
    <row r="34" spans="1:19" s="68" customFormat="1" x14ac:dyDescent="0.25">
      <c r="A34" s="66"/>
      <c r="B34" s="47">
        <f t="shared" si="0"/>
        <v>25</v>
      </c>
      <c r="C34" s="54" t="s">
        <v>12</v>
      </c>
      <c r="D34" s="80" t="s">
        <v>38</v>
      </c>
      <c r="E34" s="51" t="s">
        <v>89</v>
      </c>
      <c r="F34" s="51" t="s">
        <v>124</v>
      </c>
      <c r="G34" s="51" t="s">
        <v>152</v>
      </c>
      <c r="H34" s="51" t="s">
        <v>181</v>
      </c>
      <c r="I34" s="51" t="s">
        <v>298</v>
      </c>
      <c r="J34" s="51" t="s">
        <v>215</v>
      </c>
      <c r="K34" s="51" t="s">
        <v>259</v>
      </c>
      <c r="L34" s="51">
        <v>2</v>
      </c>
      <c r="M34" s="37">
        <f t="shared" si="1"/>
        <v>4</v>
      </c>
      <c r="N34" s="37">
        <v>20</v>
      </c>
      <c r="O34" s="64" t="s">
        <v>297</v>
      </c>
      <c r="P34" s="52">
        <v>2.9600000000000001E-2</v>
      </c>
      <c r="Q34" s="38">
        <f>P34*N34</f>
        <v>0.59200000000000008</v>
      </c>
      <c r="R34" s="37"/>
      <c r="S34" s="59"/>
    </row>
    <row r="35" spans="1:19" s="68" customFormat="1" x14ac:dyDescent="0.25">
      <c r="A35" s="66"/>
      <c r="B35" s="46">
        <f>ROW(B35) - ROW($B$9)</f>
        <v>26</v>
      </c>
      <c r="C35" s="53" t="s">
        <v>12</v>
      </c>
      <c r="D35" s="79" t="s">
        <v>39</v>
      </c>
      <c r="E35" s="37" t="s">
        <v>90</v>
      </c>
      <c r="F35" s="37" t="s">
        <v>124</v>
      </c>
      <c r="G35" s="37" t="s">
        <v>153</v>
      </c>
      <c r="H35" s="37" t="s">
        <v>181</v>
      </c>
      <c r="I35" s="37" t="s">
        <v>298</v>
      </c>
      <c r="J35" s="37" t="s">
        <v>216</v>
      </c>
      <c r="K35" s="37" t="s">
        <v>260</v>
      </c>
      <c r="L35" s="37">
        <v>1</v>
      </c>
      <c r="M35" s="37">
        <f t="shared" si="1"/>
        <v>2</v>
      </c>
      <c r="N35" s="51">
        <v>20</v>
      </c>
      <c r="O35" s="63" t="s">
        <v>297</v>
      </c>
      <c r="P35" s="38">
        <v>2.7199999999999998E-2</v>
      </c>
      <c r="Q35" s="52">
        <f t="shared" ref="Q35" si="14">P35*N35</f>
        <v>0.54399999999999993</v>
      </c>
      <c r="R35" s="51"/>
      <c r="S35" s="59"/>
    </row>
    <row r="36" spans="1:19" s="68" customFormat="1" ht="24" x14ac:dyDescent="0.25">
      <c r="A36" s="66"/>
      <c r="B36" s="47">
        <f t="shared" si="0"/>
        <v>27</v>
      </c>
      <c r="C36" s="54" t="s">
        <v>12</v>
      </c>
      <c r="D36" s="80" t="s">
        <v>40</v>
      </c>
      <c r="E36" s="51" t="s">
        <v>91</v>
      </c>
      <c r="F36" s="51" t="s">
        <v>124</v>
      </c>
      <c r="G36" s="51" t="s">
        <v>154</v>
      </c>
      <c r="H36" s="51" t="s">
        <v>193</v>
      </c>
      <c r="I36" s="51" t="s">
        <v>298</v>
      </c>
      <c r="J36" s="51" t="s">
        <v>217</v>
      </c>
      <c r="K36" s="51" t="s">
        <v>261</v>
      </c>
      <c r="L36" s="51">
        <v>2</v>
      </c>
      <c r="M36" s="37">
        <f t="shared" si="1"/>
        <v>4</v>
      </c>
      <c r="N36" s="37">
        <v>50</v>
      </c>
      <c r="O36" s="64" t="s">
        <v>297</v>
      </c>
      <c r="P36" s="52">
        <v>8.3000000000000001E-3</v>
      </c>
      <c r="Q36" s="38">
        <f>P36*N36</f>
        <v>0.41499999999999998</v>
      </c>
      <c r="R36" s="37"/>
      <c r="S36" s="59"/>
    </row>
    <row r="37" spans="1:19" s="68" customFormat="1" ht="24" x14ac:dyDescent="0.25">
      <c r="A37" s="66"/>
      <c r="B37" s="46">
        <f>ROW(B37) - ROW($B$9)</f>
        <v>28</v>
      </c>
      <c r="C37" s="53" t="s">
        <v>12</v>
      </c>
      <c r="D37" s="79" t="s">
        <v>41</v>
      </c>
      <c r="E37" s="37" t="s">
        <v>92</v>
      </c>
      <c r="F37" s="37" t="s">
        <v>125</v>
      </c>
      <c r="G37" s="37" t="s">
        <v>155</v>
      </c>
      <c r="H37" s="37" t="s">
        <v>193</v>
      </c>
      <c r="I37" s="37" t="s">
        <v>298</v>
      </c>
      <c r="J37" s="37" t="s">
        <v>218</v>
      </c>
      <c r="K37" s="37" t="s">
        <v>262</v>
      </c>
      <c r="L37" s="37">
        <v>3</v>
      </c>
      <c r="M37" s="37">
        <f t="shared" si="1"/>
        <v>6</v>
      </c>
      <c r="N37" s="51">
        <v>10</v>
      </c>
      <c r="O37" s="63" t="s">
        <v>297</v>
      </c>
      <c r="P37" s="38">
        <v>4.2999999999999997E-2</v>
      </c>
      <c r="Q37" s="52">
        <f t="shared" ref="Q37" si="15">P37*N37</f>
        <v>0.42999999999999994</v>
      </c>
      <c r="R37" s="51"/>
      <c r="S37" s="59"/>
    </row>
    <row r="38" spans="1:19" s="68" customFormat="1" ht="24" x14ac:dyDescent="0.25">
      <c r="A38" s="66"/>
      <c r="B38" s="47">
        <f t="shared" si="0"/>
        <v>29</v>
      </c>
      <c r="C38" s="54" t="s">
        <v>12</v>
      </c>
      <c r="D38" s="80" t="s">
        <v>42</v>
      </c>
      <c r="E38" s="51" t="s">
        <v>93</v>
      </c>
      <c r="F38" s="51" t="s">
        <v>126</v>
      </c>
      <c r="G38" s="51" t="s">
        <v>156</v>
      </c>
      <c r="H38" s="51" t="s">
        <v>193</v>
      </c>
      <c r="I38" s="51" t="s">
        <v>298</v>
      </c>
      <c r="J38" s="51" t="s">
        <v>219</v>
      </c>
      <c r="K38" s="51" t="s">
        <v>263</v>
      </c>
      <c r="L38" s="51">
        <v>2</v>
      </c>
      <c r="M38" s="37">
        <f t="shared" si="1"/>
        <v>4</v>
      </c>
      <c r="N38" s="37">
        <v>20</v>
      </c>
      <c r="O38" s="64" t="s">
        <v>297</v>
      </c>
      <c r="P38" s="52">
        <v>2.5100000000000001E-2</v>
      </c>
      <c r="Q38" s="38">
        <f>P38*N38</f>
        <v>0.502</v>
      </c>
      <c r="R38" s="37"/>
      <c r="S38" s="59"/>
    </row>
    <row r="39" spans="1:19" s="68" customFormat="1" ht="24" x14ac:dyDescent="0.25">
      <c r="A39" s="66"/>
      <c r="B39" s="46">
        <f>ROW(B39) - ROW($B$9)</f>
        <v>30</v>
      </c>
      <c r="C39" s="53" t="s">
        <v>12</v>
      </c>
      <c r="D39" s="79" t="s">
        <v>43</v>
      </c>
      <c r="E39" s="37" t="s">
        <v>94</v>
      </c>
      <c r="F39" s="37" t="s">
        <v>124</v>
      </c>
      <c r="G39" s="37" t="s">
        <v>157</v>
      </c>
      <c r="H39" s="37" t="s">
        <v>193</v>
      </c>
      <c r="I39" s="37" t="s">
        <v>298</v>
      </c>
      <c r="J39" s="37" t="s">
        <v>220</v>
      </c>
      <c r="K39" s="37" t="s">
        <v>264</v>
      </c>
      <c r="L39" s="37">
        <v>3</v>
      </c>
      <c r="M39" s="37">
        <f t="shared" si="1"/>
        <v>6</v>
      </c>
      <c r="N39" s="51">
        <v>20</v>
      </c>
      <c r="O39" s="63" t="s">
        <v>297</v>
      </c>
      <c r="P39" s="38">
        <v>2.86E-2</v>
      </c>
      <c r="Q39" s="52">
        <f t="shared" ref="Q39" si="16">P39*N39</f>
        <v>0.57200000000000006</v>
      </c>
      <c r="R39" s="51"/>
      <c r="S39" s="59"/>
    </row>
    <row r="40" spans="1:19" s="68" customFormat="1" x14ac:dyDescent="0.25">
      <c r="A40" s="66"/>
      <c r="B40" s="47">
        <f t="shared" si="0"/>
        <v>31</v>
      </c>
      <c r="C40" s="54" t="s">
        <v>12</v>
      </c>
      <c r="D40" s="80" t="s">
        <v>44</v>
      </c>
      <c r="E40" s="51" t="s">
        <v>95</v>
      </c>
      <c r="F40" s="51" t="s">
        <v>124</v>
      </c>
      <c r="G40" s="51" t="s">
        <v>158</v>
      </c>
      <c r="H40" s="51" t="s">
        <v>181</v>
      </c>
      <c r="I40" s="51" t="s">
        <v>298</v>
      </c>
      <c r="J40" s="51" t="s">
        <v>221</v>
      </c>
      <c r="K40" s="51" t="s">
        <v>265</v>
      </c>
      <c r="L40" s="51">
        <v>2</v>
      </c>
      <c r="M40" s="37">
        <f t="shared" si="1"/>
        <v>4</v>
      </c>
      <c r="N40" s="37">
        <v>50</v>
      </c>
      <c r="O40" s="64" t="s">
        <v>297</v>
      </c>
      <c r="P40" s="52">
        <v>8.2000000000000007E-3</v>
      </c>
      <c r="Q40" s="38">
        <f>P40*N40</f>
        <v>0.41000000000000003</v>
      </c>
      <c r="R40" s="37"/>
      <c r="S40" s="59"/>
    </row>
    <row r="41" spans="1:19" s="68" customFormat="1" x14ac:dyDescent="0.25">
      <c r="A41" s="66"/>
      <c r="B41" s="46">
        <f>ROW(B41) - ROW($B$9)</f>
        <v>32</v>
      </c>
      <c r="C41" s="53" t="s">
        <v>12</v>
      </c>
      <c r="D41" s="79" t="s">
        <v>45</v>
      </c>
      <c r="E41" s="37" t="s">
        <v>96</v>
      </c>
      <c r="F41" s="37" t="s">
        <v>124</v>
      </c>
      <c r="G41" s="37" t="s">
        <v>159</v>
      </c>
      <c r="H41" s="37" t="s">
        <v>181</v>
      </c>
      <c r="I41" s="37" t="s">
        <v>298</v>
      </c>
      <c r="J41" s="37" t="s">
        <v>222</v>
      </c>
      <c r="K41" s="37" t="s">
        <v>266</v>
      </c>
      <c r="L41" s="37">
        <v>3</v>
      </c>
      <c r="M41" s="37">
        <f t="shared" si="1"/>
        <v>6</v>
      </c>
      <c r="N41" s="51">
        <v>20</v>
      </c>
      <c r="O41" s="63" t="s">
        <v>297</v>
      </c>
      <c r="P41" s="38">
        <v>2.98E-2</v>
      </c>
      <c r="Q41" s="52">
        <f t="shared" ref="Q41" si="17">P41*N41</f>
        <v>0.59599999999999997</v>
      </c>
      <c r="R41" s="51"/>
      <c r="S41" s="59"/>
    </row>
    <row r="42" spans="1:19" s="68" customFormat="1" x14ac:dyDescent="0.25">
      <c r="A42" s="66"/>
      <c r="B42" s="47">
        <f t="shared" si="0"/>
        <v>33</v>
      </c>
      <c r="C42" s="54"/>
      <c r="D42" s="80" t="s">
        <v>46</v>
      </c>
      <c r="E42" s="51" t="s">
        <v>97</v>
      </c>
      <c r="F42" s="51" t="s">
        <v>126</v>
      </c>
      <c r="G42" s="51" t="s">
        <v>160</v>
      </c>
      <c r="H42" s="51" t="s">
        <v>181</v>
      </c>
      <c r="I42" s="51" t="s">
        <v>298</v>
      </c>
      <c r="J42" s="51" t="s">
        <v>223</v>
      </c>
      <c r="K42" s="51" t="s">
        <v>267</v>
      </c>
      <c r="L42" s="51">
        <v>3</v>
      </c>
      <c r="M42" s="37">
        <f t="shared" si="1"/>
        <v>6</v>
      </c>
      <c r="N42" s="37">
        <v>100</v>
      </c>
      <c r="O42" s="64" t="s">
        <v>297</v>
      </c>
      <c r="P42" s="52">
        <v>6.9999999999999999E-4</v>
      </c>
      <c r="Q42" s="38">
        <f>P42*N42</f>
        <v>6.9999999999999993E-2</v>
      </c>
      <c r="R42" s="37"/>
      <c r="S42" s="59"/>
    </row>
    <row r="43" spans="1:19" s="68" customFormat="1" x14ac:dyDescent="0.25">
      <c r="A43" s="66"/>
      <c r="B43" s="46">
        <f>ROW(B43) - ROW($B$9)</f>
        <v>34</v>
      </c>
      <c r="C43" s="53" t="s">
        <v>12</v>
      </c>
      <c r="D43" s="79" t="s">
        <v>47</v>
      </c>
      <c r="E43" s="37" t="s">
        <v>98</v>
      </c>
      <c r="F43" s="37" t="s">
        <v>124</v>
      </c>
      <c r="G43" s="37" t="s">
        <v>161</v>
      </c>
      <c r="H43" s="37" t="s">
        <v>181</v>
      </c>
      <c r="I43" s="37" t="s">
        <v>298</v>
      </c>
      <c r="J43" s="37" t="s">
        <v>224</v>
      </c>
      <c r="K43" s="37" t="s">
        <v>268</v>
      </c>
      <c r="L43" s="37">
        <v>2</v>
      </c>
      <c r="M43" s="37">
        <f t="shared" si="1"/>
        <v>4</v>
      </c>
      <c r="N43" s="51">
        <v>100</v>
      </c>
      <c r="O43" s="63" t="s">
        <v>297</v>
      </c>
      <c r="P43" s="38">
        <v>1.1999999999999999E-3</v>
      </c>
      <c r="Q43" s="52">
        <f t="shared" ref="Q43" si="18">P43*N43</f>
        <v>0.12</v>
      </c>
      <c r="R43" s="51"/>
      <c r="S43" s="59"/>
    </row>
    <row r="44" spans="1:19" s="68" customFormat="1" ht="24" x14ac:dyDescent="0.25">
      <c r="A44" s="66"/>
      <c r="B44" s="47">
        <f t="shared" si="0"/>
        <v>35</v>
      </c>
      <c r="C44" s="54" t="s">
        <v>12</v>
      </c>
      <c r="D44" s="80" t="s">
        <v>48</v>
      </c>
      <c r="E44" s="51" t="s">
        <v>99</v>
      </c>
      <c r="F44" s="51" t="s">
        <v>124</v>
      </c>
      <c r="G44" s="51" t="s">
        <v>162</v>
      </c>
      <c r="H44" s="51" t="s">
        <v>193</v>
      </c>
      <c r="I44" s="51" t="s">
        <v>298</v>
      </c>
      <c r="J44" s="51" t="s">
        <v>225</v>
      </c>
      <c r="K44" s="51" t="s">
        <v>269</v>
      </c>
      <c r="L44" s="51">
        <v>3</v>
      </c>
      <c r="M44" s="37">
        <f t="shared" si="1"/>
        <v>6</v>
      </c>
      <c r="N44" s="37">
        <v>20</v>
      </c>
      <c r="O44" s="64" t="s">
        <v>297</v>
      </c>
      <c r="P44" s="52">
        <v>2.7199999999999998E-2</v>
      </c>
      <c r="Q44" s="38">
        <f>P44*N44</f>
        <v>0.54399999999999993</v>
      </c>
      <c r="R44" s="37"/>
      <c r="S44" s="59"/>
    </row>
    <row r="45" spans="1:19" s="68" customFormat="1" x14ac:dyDescent="0.25">
      <c r="A45" s="66"/>
      <c r="B45" s="46">
        <f>ROW(B45) - ROW($B$9)</f>
        <v>36</v>
      </c>
      <c r="C45" s="53" t="s">
        <v>12</v>
      </c>
      <c r="D45" s="79" t="s">
        <v>49</v>
      </c>
      <c r="E45" s="37" t="s">
        <v>100</v>
      </c>
      <c r="F45" s="37" t="s">
        <v>126</v>
      </c>
      <c r="G45" s="37" t="s">
        <v>163</v>
      </c>
      <c r="H45" s="37" t="s">
        <v>181</v>
      </c>
      <c r="I45" s="37" t="s">
        <v>298</v>
      </c>
      <c r="J45" s="37" t="s">
        <v>226</v>
      </c>
      <c r="K45" s="37" t="s">
        <v>270</v>
      </c>
      <c r="L45" s="37">
        <v>2</v>
      </c>
      <c r="M45" s="37">
        <f t="shared" si="1"/>
        <v>4</v>
      </c>
      <c r="N45" s="51">
        <v>20</v>
      </c>
      <c r="O45" s="63" t="s">
        <v>297</v>
      </c>
      <c r="P45" s="38">
        <v>2.4899999999999999E-2</v>
      </c>
      <c r="Q45" s="52">
        <f t="shared" ref="Q45" si="19">P45*N45</f>
        <v>0.498</v>
      </c>
      <c r="R45" s="51"/>
      <c r="S45" s="59"/>
    </row>
    <row r="46" spans="1:19" s="68" customFormat="1" ht="24" x14ac:dyDescent="0.25">
      <c r="A46" s="66"/>
      <c r="B46" s="47">
        <f t="shared" si="0"/>
        <v>37</v>
      </c>
      <c r="C46" s="54" t="s">
        <v>12</v>
      </c>
      <c r="D46" s="80" t="s">
        <v>50</v>
      </c>
      <c r="E46" s="51" t="s">
        <v>101</v>
      </c>
      <c r="F46" s="51" t="s">
        <v>124</v>
      </c>
      <c r="G46" s="51" t="s">
        <v>164</v>
      </c>
      <c r="H46" s="51" t="s">
        <v>193</v>
      </c>
      <c r="I46" s="51" t="s">
        <v>298</v>
      </c>
      <c r="J46" s="51" t="s">
        <v>227</v>
      </c>
      <c r="K46" s="51" t="s">
        <v>271</v>
      </c>
      <c r="L46" s="51">
        <v>3</v>
      </c>
      <c r="M46" s="37">
        <f t="shared" si="1"/>
        <v>6</v>
      </c>
      <c r="N46" s="37">
        <v>20</v>
      </c>
      <c r="O46" s="64" t="s">
        <v>297</v>
      </c>
      <c r="P46" s="52">
        <v>3.0200000000000001E-2</v>
      </c>
      <c r="Q46" s="38">
        <f>P46*N46</f>
        <v>0.60399999999999998</v>
      </c>
      <c r="R46" s="37"/>
      <c r="S46" s="59"/>
    </row>
    <row r="47" spans="1:19" s="68" customFormat="1" x14ac:dyDescent="0.25">
      <c r="A47" s="66"/>
      <c r="B47" s="46">
        <f>ROW(B47) - ROW($B$9)</f>
        <v>38</v>
      </c>
      <c r="C47" s="53" t="s">
        <v>12</v>
      </c>
      <c r="D47" s="79" t="s">
        <v>51</v>
      </c>
      <c r="E47" s="37" t="s">
        <v>102</v>
      </c>
      <c r="F47" s="37" t="s">
        <v>124</v>
      </c>
      <c r="G47" s="37" t="s">
        <v>165</v>
      </c>
      <c r="H47" s="37" t="s">
        <v>181</v>
      </c>
      <c r="I47" s="37" t="s">
        <v>298</v>
      </c>
      <c r="J47" s="37" t="s">
        <v>228</v>
      </c>
      <c r="K47" s="37" t="s">
        <v>272</v>
      </c>
      <c r="L47" s="37">
        <v>2</v>
      </c>
      <c r="M47" s="37">
        <f t="shared" si="1"/>
        <v>4</v>
      </c>
      <c r="N47" s="51">
        <v>20</v>
      </c>
      <c r="O47" s="63" t="s">
        <v>297</v>
      </c>
      <c r="P47" s="38">
        <v>2.7799999999999998E-2</v>
      </c>
      <c r="Q47" s="52">
        <f t="shared" ref="Q47" si="20">P47*N47</f>
        <v>0.55599999999999994</v>
      </c>
      <c r="R47" s="51"/>
      <c r="S47" s="59"/>
    </row>
    <row r="48" spans="1:19" s="68" customFormat="1" ht="48" x14ac:dyDescent="0.25">
      <c r="A48" s="66"/>
      <c r="B48" s="47">
        <f t="shared" si="0"/>
        <v>39</v>
      </c>
      <c r="C48" s="54" t="s">
        <v>12</v>
      </c>
      <c r="D48" s="80" t="s">
        <v>52</v>
      </c>
      <c r="E48" s="51" t="s">
        <v>103</v>
      </c>
      <c r="F48" s="51" t="s">
        <v>125</v>
      </c>
      <c r="G48" s="51" t="s">
        <v>166</v>
      </c>
      <c r="H48" s="51" t="s">
        <v>193</v>
      </c>
      <c r="I48" s="51" t="s">
        <v>298</v>
      </c>
      <c r="J48" s="51" t="s">
        <v>229</v>
      </c>
      <c r="K48" s="51" t="s">
        <v>273</v>
      </c>
      <c r="L48" s="51">
        <v>2</v>
      </c>
      <c r="M48" s="37">
        <f t="shared" si="1"/>
        <v>4</v>
      </c>
      <c r="N48" s="37">
        <v>20</v>
      </c>
      <c r="O48" s="64" t="s">
        <v>297</v>
      </c>
      <c r="P48" s="52">
        <v>3.2399999999999998E-2</v>
      </c>
      <c r="Q48" s="38">
        <f>P48*N48</f>
        <v>0.64799999999999991</v>
      </c>
      <c r="R48" s="37"/>
      <c r="S48" s="59"/>
    </row>
    <row r="49" spans="1:19" s="68" customFormat="1" x14ac:dyDescent="0.25">
      <c r="A49" s="66"/>
      <c r="B49" s="46">
        <f>ROW(B49) - ROW($B$9)</f>
        <v>40</v>
      </c>
      <c r="C49" s="53" t="s">
        <v>12</v>
      </c>
      <c r="D49" s="79" t="s">
        <v>53</v>
      </c>
      <c r="E49" s="37" t="s">
        <v>104</v>
      </c>
      <c r="F49" s="37" t="s">
        <v>126</v>
      </c>
      <c r="G49" s="37" t="s">
        <v>167</v>
      </c>
      <c r="H49" s="37" t="s">
        <v>181</v>
      </c>
      <c r="I49" s="51" t="s">
        <v>298</v>
      </c>
      <c r="J49" s="37" t="s">
        <v>230</v>
      </c>
      <c r="K49" s="37" t="s">
        <v>274</v>
      </c>
      <c r="L49" s="37">
        <v>3</v>
      </c>
      <c r="M49" s="37">
        <f t="shared" si="1"/>
        <v>6</v>
      </c>
      <c r="N49" s="51">
        <v>20</v>
      </c>
      <c r="O49" s="63" t="s">
        <v>297</v>
      </c>
      <c r="P49" s="38">
        <v>2.58E-2</v>
      </c>
      <c r="Q49" s="52">
        <f t="shared" ref="Q49" si="21">P49*N49</f>
        <v>0.51600000000000001</v>
      </c>
      <c r="R49" s="51"/>
      <c r="S49" s="59"/>
    </row>
    <row r="50" spans="1:19" s="68" customFormat="1" x14ac:dyDescent="0.25">
      <c r="A50" s="66"/>
      <c r="B50" s="47">
        <f t="shared" si="0"/>
        <v>41</v>
      </c>
      <c r="C50" s="54" t="s">
        <v>12</v>
      </c>
      <c r="D50" s="80" t="s">
        <v>54</v>
      </c>
      <c r="E50" s="51" t="s">
        <v>105</v>
      </c>
      <c r="F50" s="51" t="s">
        <v>124</v>
      </c>
      <c r="G50" s="51" t="s">
        <v>168</v>
      </c>
      <c r="H50" s="51" t="s">
        <v>181</v>
      </c>
      <c r="I50" s="51" t="s">
        <v>298</v>
      </c>
      <c r="J50" s="51" t="s">
        <v>231</v>
      </c>
      <c r="K50" s="51" t="s">
        <v>275</v>
      </c>
      <c r="L50" s="51">
        <v>1</v>
      </c>
      <c r="M50" s="37">
        <f t="shared" si="1"/>
        <v>2</v>
      </c>
      <c r="N50" s="37">
        <v>20</v>
      </c>
      <c r="O50" s="64" t="s">
        <v>297</v>
      </c>
      <c r="P50" s="52">
        <v>2.9399999999999999E-2</v>
      </c>
      <c r="Q50" s="38">
        <f>P50*N50</f>
        <v>0.58799999999999997</v>
      </c>
      <c r="R50" s="37"/>
      <c r="S50" s="59"/>
    </row>
    <row r="51" spans="1:19" s="68" customFormat="1" ht="48" x14ac:dyDescent="0.25">
      <c r="A51" s="66"/>
      <c r="B51" s="46">
        <f>ROW(B51) - ROW($B$9)</f>
        <v>42</v>
      </c>
      <c r="C51" s="53" t="s">
        <v>12</v>
      </c>
      <c r="D51" s="79" t="s">
        <v>55</v>
      </c>
      <c r="E51" s="37" t="s">
        <v>106</v>
      </c>
      <c r="F51" s="37" t="s">
        <v>125</v>
      </c>
      <c r="G51" s="37" t="s">
        <v>169</v>
      </c>
      <c r="H51" s="37" t="s">
        <v>194</v>
      </c>
      <c r="I51" s="51" t="s">
        <v>298</v>
      </c>
      <c r="J51" s="37" t="s">
        <v>232</v>
      </c>
      <c r="K51" s="37" t="s">
        <v>276</v>
      </c>
      <c r="L51" s="37">
        <v>1</v>
      </c>
      <c r="M51" s="37">
        <f t="shared" si="1"/>
        <v>2</v>
      </c>
      <c r="N51" s="51">
        <v>100</v>
      </c>
      <c r="O51" s="63" t="s">
        <v>297</v>
      </c>
      <c r="P51" s="38">
        <v>1.9E-3</v>
      </c>
      <c r="Q51" s="52">
        <f t="shared" ref="Q51" si="22">P51*N51</f>
        <v>0.19</v>
      </c>
      <c r="R51" s="51"/>
      <c r="S51" s="59"/>
    </row>
    <row r="52" spans="1:19" s="68" customFormat="1" x14ac:dyDescent="0.25">
      <c r="A52" s="66"/>
      <c r="B52" s="47">
        <f t="shared" si="0"/>
        <v>43</v>
      </c>
      <c r="C52" s="54" t="s">
        <v>12</v>
      </c>
      <c r="D52" s="80" t="s">
        <v>56</v>
      </c>
      <c r="E52" s="51" t="s">
        <v>107</v>
      </c>
      <c r="F52" s="51" t="s">
        <v>125</v>
      </c>
      <c r="G52" s="51" t="s">
        <v>170</v>
      </c>
      <c r="H52" s="51" t="s">
        <v>181</v>
      </c>
      <c r="I52" s="51" t="s">
        <v>298</v>
      </c>
      <c r="J52" s="51" t="s">
        <v>233</v>
      </c>
      <c r="K52" s="51" t="s">
        <v>277</v>
      </c>
      <c r="L52" s="51">
        <v>1</v>
      </c>
      <c r="M52" s="37">
        <f t="shared" si="1"/>
        <v>2</v>
      </c>
      <c r="N52" s="37">
        <v>20</v>
      </c>
      <c r="O52" s="64" t="s">
        <v>297</v>
      </c>
      <c r="P52" s="52">
        <v>3.8600000000000002E-2</v>
      </c>
      <c r="Q52" s="38">
        <f>P52*N52</f>
        <v>0.77200000000000002</v>
      </c>
      <c r="R52" s="37"/>
      <c r="S52" s="59"/>
    </row>
    <row r="53" spans="1:19" s="68" customFormat="1" ht="48" x14ac:dyDescent="0.25">
      <c r="A53" s="66"/>
      <c r="B53" s="46">
        <f>ROW(B53) - ROW($B$9)</f>
        <v>44</v>
      </c>
      <c r="C53" s="53" t="s">
        <v>12</v>
      </c>
      <c r="D53" s="79" t="s">
        <v>57</v>
      </c>
      <c r="E53" s="37" t="s">
        <v>108</v>
      </c>
      <c r="F53" s="37" t="s">
        <v>126</v>
      </c>
      <c r="G53" s="37" t="s">
        <v>171</v>
      </c>
      <c r="H53" s="37" t="s">
        <v>193</v>
      </c>
      <c r="I53" s="51" t="s">
        <v>298</v>
      </c>
      <c r="J53" s="37" t="s">
        <v>234</v>
      </c>
      <c r="K53" s="37" t="s">
        <v>278</v>
      </c>
      <c r="L53" s="37">
        <v>1</v>
      </c>
      <c r="M53" s="37">
        <f t="shared" si="1"/>
        <v>2</v>
      </c>
      <c r="N53" s="51">
        <v>20</v>
      </c>
      <c r="O53" s="63" t="s">
        <v>297</v>
      </c>
      <c r="P53" s="38">
        <v>2.1700000000000001E-2</v>
      </c>
      <c r="Q53" s="52">
        <f t="shared" ref="Q53" si="23">P53*N53</f>
        <v>0.434</v>
      </c>
      <c r="R53" s="51"/>
      <c r="S53" s="59"/>
    </row>
    <row r="54" spans="1:19" s="68" customFormat="1" ht="48" x14ac:dyDescent="0.25">
      <c r="A54" s="66"/>
      <c r="B54" s="47">
        <f t="shared" si="0"/>
        <v>45</v>
      </c>
      <c r="C54" s="54" t="s">
        <v>12</v>
      </c>
      <c r="D54" s="51" t="s">
        <v>58</v>
      </c>
      <c r="E54" s="51" t="s">
        <v>109</v>
      </c>
      <c r="F54" s="51" t="s">
        <v>125</v>
      </c>
      <c r="G54" s="51" t="s">
        <v>172</v>
      </c>
      <c r="H54" s="51" t="s">
        <v>193</v>
      </c>
      <c r="I54" s="51" t="s">
        <v>298</v>
      </c>
      <c r="J54" s="51" t="s">
        <v>235</v>
      </c>
      <c r="K54" s="51" t="s">
        <v>279</v>
      </c>
      <c r="L54" s="51">
        <v>1</v>
      </c>
      <c r="M54" s="37">
        <f t="shared" si="1"/>
        <v>2</v>
      </c>
      <c r="N54" s="37">
        <v>20</v>
      </c>
      <c r="O54" s="64" t="s">
        <v>297</v>
      </c>
      <c r="P54" s="52">
        <v>3.1199999999999999E-2</v>
      </c>
      <c r="Q54" s="38">
        <f>P54*N54</f>
        <v>0.624</v>
      </c>
      <c r="R54" s="37"/>
      <c r="S54" s="59"/>
    </row>
    <row r="55" spans="1:19" s="68" customFormat="1" x14ac:dyDescent="0.25">
      <c r="A55" s="66"/>
      <c r="B55" s="46">
        <f>ROW(B55) - ROW($B$9)</f>
        <v>46</v>
      </c>
      <c r="C55" s="53" t="s">
        <v>12</v>
      </c>
      <c r="D55" s="37" t="s">
        <v>59</v>
      </c>
      <c r="E55" s="37" t="s">
        <v>110</v>
      </c>
      <c r="F55" s="37" t="s">
        <v>126</v>
      </c>
      <c r="G55" s="37" t="s">
        <v>173</v>
      </c>
      <c r="H55" s="37" t="s">
        <v>181</v>
      </c>
      <c r="I55" s="51" t="s">
        <v>298</v>
      </c>
      <c r="J55" s="37" t="s">
        <v>236</v>
      </c>
      <c r="K55" s="37" t="s">
        <v>280</v>
      </c>
      <c r="L55" s="37">
        <v>1</v>
      </c>
      <c r="M55" s="37">
        <f t="shared" si="1"/>
        <v>2</v>
      </c>
      <c r="N55" s="51">
        <v>20</v>
      </c>
      <c r="O55" s="63" t="s">
        <v>297</v>
      </c>
      <c r="P55" s="38">
        <v>2.52E-2</v>
      </c>
      <c r="Q55" s="52">
        <f t="shared" ref="Q55" si="24">P55*N55</f>
        <v>0.504</v>
      </c>
      <c r="R55" s="51"/>
      <c r="S55" s="59"/>
    </row>
    <row r="56" spans="1:19" s="68" customFormat="1" ht="48" x14ac:dyDescent="0.25">
      <c r="A56" s="66"/>
      <c r="B56" s="47">
        <f t="shared" si="0"/>
        <v>47</v>
      </c>
      <c r="C56" s="54" t="s">
        <v>12</v>
      </c>
      <c r="D56" s="51" t="s">
        <v>60</v>
      </c>
      <c r="E56" s="51" t="s">
        <v>111</v>
      </c>
      <c r="F56" s="51" t="s">
        <v>124</v>
      </c>
      <c r="G56" s="51" t="s">
        <v>174</v>
      </c>
      <c r="H56" s="51" t="s">
        <v>193</v>
      </c>
      <c r="I56" s="51" t="s">
        <v>298</v>
      </c>
      <c r="J56" s="51" t="s">
        <v>237</v>
      </c>
      <c r="K56" s="51" t="s">
        <v>281</v>
      </c>
      <c r="L56" s="51">
        <v>1</v>
      </c>
      <c r="M56" s="37">
        <f t="shared" si="1"/>
        <v>2</v>
      </c>
      <c r="N56" s="37">
        <v>20</v>
      </c>
      <c r="O56" s="64" t="s">
        <v>297</v>
      </c>
      <c r="P56" s="52">
        <v>2.3699999999999999E-2</v>
      </c>
      <c r="Q56" s="38">
        <f>P56*N56</f>
        <v>0.47399999999999998</v>
      </c>
      <c r="R56" s="37"/>
      <c r="S56" s="59"/>
    </row>
    <row r="57" spans="1:19" s="68" customFormat="1" x14ac:dyDescent="0.25">
      <c r="A57" s="66"/>
      <c r="B57" s="47">
        <f t="shared" si="0"/>
        <v>48</v>
      </c>
      <c r="C57" s="54" t="s">
        <v>13</v>
      </c>
      <c r="D57" s="51" t="s">
        <v>324</v>
      </c>
      <c r="E57" s="51" t="s">
        <v>83</v>
      </c>
      <c r="F57" s="51" t="s">
        <v>295</v>
      </c>
      <c r="G57" s="51" t="s">
        <v>146</v>
      </c>
      <c r="H57" s="51" t="s">
        <v>191</v>
      </c>
      <c r="I57" s="51"/>
      <c r="J57" s="51" t="s">
        <v>209</v>
      </c>
      <c r="K57" s="51" t="s">
        <v>253</v>
      </c>
      <c r="L57" s="51">
        <v>1</v>
      </c>
      <c r="M57" s="37">
        <f t="shared" si="1"/>
        <v>2</v>
      </c>
      <c r="N57" s="80">
        <v>5</v>
      </c>
      <c r="O57" s="63" t="s">
        <v>297</v>
      </c>
      <c r="P57" s="38">
        <v>0.14399999999999999</v>
      </c>
      <c r="Q57" s="38">
        <f>P57*N57</f>
        <v>0.72</v>
      </c>
      <c r="R57" s="60"/>
      <c r="S57" s="62"/>
    </row>
    <row r="58" spans="1:19" s="68" customFormat="1" x14ac:dyDescent="0.25">
      <c r="A58" s="66"/>
      <c r="B58" s="46">
        <f>ROW(B58) - ROW($B$9)</f>
        <v>49</v>
      </c>
      <c r="C58" s="53" t="s">
        <v>12</v>
      </c>
      <c r="D58" s="37" t="s">
        <v>61</v>
      </c>
      <c r="E58" s="37" t="s">
        <v>112</v>
      </c>
      <c r="F58" s="37" t="s">
        <v>124</v>
      </c>
      <c r="G58" s="37" t="s">
        <v>175</v>
      </c>
      <c r="H58" s="37" t="s">
        <v>181</v>
      </c>
      <c r="I58" s="51" t="s">
        <v>298</v>
      </c>
      <c r="J58" s="37" t="s">
        <v>238</v>
      </c>
      <c r="K58" s="37" t="s">
        <v>282</v>
      </c>
      <c r="L58" s="37">
        <v>2</v>
      </c>
      <c r="M58" s="37">
        <f t="shared" si="1"/>
        <v>4</v>
      </c>
      <c r="N58" s="37">
        <v>20</v>
      </c>
      <c r="O58" s="63" t="s">
        <v>297</v>
      </c>
      <c r="P58" s="38">
        <v>2.5399999999999999E-2</v>
      </c>
      <c r="Q58" s="38">
        <f>P58*N58</f>
        <v>0.50800000000000001</v>
      </c>
      <c r="R58" s="37"/>
      <c r="S58" s="59"/>
    </row>
    <row r="59" spans="1:19" s="68" customFormat="1" ht="15.75" thickBot="1" x14ac:dyDescent="0.3">
      <c r="A59" s="66"/>
      <c r="B59" s="47">
        <f t="shared" si="0"/>
        <v>50</v>
      </c>
      <c r="C59" s="54" t="s">
        <v>14</v>
      </c>
      <c r="D59" s="60" t="s">
        <v>62</v>
      </c>
      <c r="E59" s="60" t="s">
        <v>113</v>
      </c>
      <c r="F59" s="60" t="s">
        <v>295</v>
      </c>
      <c r="G59" s="60" t="s">
        <v>14</v>
      </c>
      <c r="H59" s="60" t="s">
        <v>298</v>
      </c>
      <c r="I59" s="51" t="s">
        <v>298</v>
      </c>
      <c r="J59" s="60" t="s">
        <v>298</v>
      </c>
      <c r="K59" s="60" t="s">
        <v>298</v>
      </c>
      <c r="L59" s="60">
        <v>2</v>
      </c>
      <c r="M59" s="37">
        <f t="shared" si="1"/>
        <v>4</v>
      </c>
      <c r="N59" s="51">
        <v>10</v>
      </c>
      <c r="O59" s="60" t="s">
        <v>298</v>
      </c>
      <c r="P59" s="61" t="s">
        <v>298</v>
      </c>
      <c r="Q59" s="52" t="s">
        <v>298</v>
      </c>
      <c r="R59" s="51"/>
      <c r="S59" s="39"/>
    </row>
    <row r="60" spans="1:19" ht="48.75" thickBot="1" x14ac:dyDescent="0.3">
      <c r="A60" s="1"/>
      <c r="B60" s="46">
        <f>ROW(B60) - ROW($B$9)</f>
        <v>51</v>
      </c>
      <c r="C60" s="53" t="s">
        <v>15</v>
      </c>
      <c r="D60" s="37" t="s">
        <v>63</v>
      </c>
      <c r="E60" s="37" t="s">
        <v>114</v>
      </c>
      <c r="F60" s="37" t="s">
        <v>295</v>
      </c>
      <c r="G60" s="37" t="s">
        <v>176</v>
      </c>
      <c r="H60" s="37" t="s">
        <v>195</v>
      </c>
      <c r="I60" s="51" t="s">
        <v>298</v>
      </c>
      <c r="J60" s="37" t="s">
        <v>239</v>
      </c>
      <c r="K60" s="37" t="s">
        <v>298</v>
      </c>
      <c r="L60" s="37">
        <v>9</v>
      </c>
      <c r="M60" s="37">
        <f t="shared" si="1"/>
        <v>18</v>
      </c>
      <c r="N60" s="51">
        <v>20</v>
      </c>
      <c r="O60" s="63" t="s">
        <v>297</v>
      </c>
      <c r="P60" s="38">
        <v>0.5171</v>
      </c>
      <c r="Q60" s="52">
        <f t="shared" ref="Q60:Q61" si="25">P60*N60</f>
        <v>10.342000000000001</v>
      </c>
      <c r="R60" s="51"/>
      <c r="S60" s="39"/>
    </row>
    <row r="61" spans="1:19" ht="24.75" thickBot="1" x14ac:dyDescent="0.3">
      <c r="A61" s="1"/>
      <c r="B61" s="47">
        <f t="shared" si="0"/>
        <v>52</v>
      </c>
      <c r="C61" s="54" t="s">
        <v>309</v>
      </c>
      <c r="D61" s="51" t="s">
        <v>64</v>
      </c>
      <c r="E61" s="51" t="s">
        <v>115</v>
      </c>
      <c r="F61" s="51" t="s">
        <v>127</v>
      </c>
      <c r="G61" s="51" t="s">
        <v>177</v>
      </c>
      <c r="H61" s="51" t="s">
        <v>196</v>
      </c>
      <c r="I61" s="51" t="s">
        <v>298</v>
      </c>
      <c r="J61" s="51" t="s">
        <v>296</v>
      </c>
      <c r="K61" s="51" t="s">
        <v>298</v>
      </c>
      <c r="L61" s="51">
        <v>3</v>
      </c>
      <c r="M61" s="37">
        <f t="shared" si="1"/>
        <v>6</v>
      </c>
      <c r="N61" s="51">
        <v>10</v>
      </c>
      <c r="O61" s="64" t="s">
        <v>297</v>
      </c>
      <c r="P61" s="52">
        <v>0.1139</v>
      </c>
      <c r="Q61" s="52">
        <f t="shared" si="25"/>
        <v>1.139</v>
      </c>
      <c r="R61" s="51"/>
      <c r="S61" s="39"/>
    </row>
    <row r="62" spans="1:19" ht="19.5" thickBot="1" x14ac:dyDescent="0.3">
      <c r="B62" s="40"/>
      <c r="C62" s="41"/>
      <c r="D62" s="42"/>
      <c r="E62" s="43"/>
      <c r="F62" s="44"/>
      <c r="G62" s="45"/>
      <c r="H62" s="44"/>
      <c r="I62" s="45"/>
      <c r="J62" s="44"/>
      <c r="K62" s="45"/>
      <c r="L62" s="45"/>
      <c r="M62" s="45"/>
      <c r="N62" s="96" t="s">
        <v>5</v>
      </c>
      <c r="O62" s="97"/>
      <c r="P62" s="97"/>
      <c r="Q62" s="48">
        <f>SUM(Q10:Q61)</f>
        <v>40.886600000000001</v>
      </c>
      <c r="R62" s="98"/>
      <c r="S62" s="99"/>
    </row>
    <row r="63" spans="1:19" ht="19.5" thickBot="1" x14ac:dyDescent="0.3">
      <c r="B63" s="25"/>
      <c r="C63" s="36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96" t="s">
        <v>6</v>
      </c>
      <c r="O63" s="97"/>
      <c r="P63" s="97"/>
      <c r="Q63" s="49">
        <f>Q62/2</f>
        <v>20.443300000000001</v>
      </c>
      <c r="R63" s="100"/>
      <c r="S63" s="101"/>
    </row>
  </sheetData>
  <mergeCells count="5">
    <mergeCell ref="N62:P62"/>
    <mergeCell ref="N63:P63"/>
    <mergeCell ref="R62:S63"/>
    <mergeCell ref="K1:S1"/>
    <mergeCell ref="S3:S8"/>
  </mergeCells>
  <hyperlinks>
    <hyperlink ref="O10" r:id="rId1"/>
    <hyperlink ref="O11" r:id="rId2"/>
    <hyperlink ref="O12" r:id="rId3"/>
    <hyperlink ref="O14" r:id="rId4"/>
    <hyperlink ref="O15" r:id="rId5"/>
    <hyperlink ref="O17" r:id="rId6"/>
    <hyperlink ref="O19" r:id="rId7"/>
    <hyperlink ref="O20" r:id="rId8"/>
    <hyperlink ref="O23" r:id="rId9"/>
    <hyperlink ref="O24" r:id="rId10" display="lCSC"/>
    <hyperlink ref="O25" r:id="rId11"/>
    <hyperlink ref="O26" r:id="rId12"/>
    <hyperlink ref="O28" r:id="rId13"/>
    <hyperlink ref="O29" r:id="rId14"/>
    <hyperlink ref="O30" r:id="rId15"/>
    <hyperlink ref="O31" r:id="rId16"/>
    <hyperlink ref="O32" r:id="rId17"/>
    <hyperlink ref="O34" r:id="rId18"/>
    <hyperlink ref="O35" r:id="rId19"/>
    <hyperlink ref="O36" r:id="rId20"/>
    <hyperlink ref="O37" r:id="rId21"/>
    <hyperlink ref="O38" r:id="rId22"/>
    <hyperlink ref="O39" r:id="rId23"/>
    <hyperlink ref="O40" r:id="rId24"/>
    <hyperlink ref="O41" r:id="rId25"/>
    <hyperlink ref="O42" r:id="rId26"/>
    <hyperlink ref="O43" r:id="rId27"/>
    <hyperlink ref="O44" r:id="rId28"/>
    <hyperlink ref="O45" r:id="rId29"/>
    <hyperlink ref="O46" r:id="rId30"/>
    <hyperlink ref="O47" r:id="rId31"/>
    <hyperlink ref="O48" r:id="rId32"/>
    <hyperlink ref="O49" r:id="rId33"/>
    <hyperlink ref="O50" r:id="rId34"/>
    <hyperlink ref="O51" r:id="rId35"/>
    <hyperlink ref="O52" r:id="rId36"/>
    <hyperlink ref="O53" r:id="rId37"/>
    <hyperlink ref="O54" r:id="rId38"/>
    <hyperlink ref="O55" r:id="rId39"/>
    <hyperlink ref="O56" r:id="rId40"/>
    <hyperlink ref="O58" r:id="rId41"/>
    <hyperlink ref="O60" r:id="rId42"/>
    <hyperlink ref="O61" r:id="rId43"/>
    <hyperlink ref="O18" r:id="rId44"/>
    <hyperlink ref="O16" r:id="rId45"/>
    <hyperlink ref="O21" r:id="rId46"/>
    <hyperlink ref="O22" r:id="rId47"/>
    <hyperlink ref="O13" r:id="rId48"/>
    <hyperlink ref="O27" r:id="rId49"/>
    <hyperlink ref="O33" r:id="rId50"/>
    <hyperlink ref="O57" r:id="rId51"/>
  </hyperlinks>
  <pageMargins left="0.7" right="0.7" top="0.75" bottom="0.75" header="0.3" footer="0.3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63"/>
  <sheetViews>
    <sheetView topLeftCell="F40" workbookViewId="0">
      <selection activeCell="R56" sqref="R56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3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2"/>
      <c r="L1" s="92"/>
      <c r="M1" s="92"/>
      <c r="N1" s="92"/>
      <c r="O1" s="92"/>
      <c r="P1" s="92"/>
      <c r="Q1" s="92"/>
      <c r="R1" s="92"/>
      <c r="S1" s="93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284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285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4"/>
    </row>
    <row r="4" spans="1:19" x14ac:dyDescent="0.25">
      <c r="A4" s="1"/>
      <c r="B4" s="22"/>
      <c r="C4" s="32"/>
      <c r="D4" s="13" t="s">
        <v>2</v>
      </c>
      <c r="E4" s="13"/>
      <c r="F4" s="57" t="s">
        <v>285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5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5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5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5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5"/>
    </row>
    <row r="9" spans="1:19" ht="15.75" thickBot="1" x14ac:dyDescent="0.3">
      <c r="A9" s="1"/>
      <c r="B9" s="30" t="s">
        <v>4</v>
      </c>
      <c r="C9" s="30" t="s">
        <v>8</v>
      </c>
      <c r="D9" s="30" t="s">
        <v>16</v>
      </c>
      <c r="E9" s="30" t="s">
        <v>65</v>
      </c>
      <c r="F9" s="30" t="s">
        <v>116</v>
      </c>
      <c r="G9" s="30" t="s">
        <v>128</v>
      </c>
      <c r="H9" s="30" t="s">
        <v>178</v>
      </c>
      <c r="I9" s="30" t="s">
        <v>286</v>
      </c>
      <c r="J9" s="30" t="s">
        <v>197</v>
      </c>
      <c r="K9" s="30" t="s">
        <v>287</v>
      </c>
      <c r="L9" s="30" t="s">
        <v>283</v>
      </c>
      <c r="M9" s="30" t="s">
        <v>288</v>
      </c>
      <c r="N9" s="30" t="s">
        <v>289</v>
      </c>
      <c r="O9" s="30" t="s">
        <v>290</v>
      </c>
      <c r="P9" s="30" t="s">
        <v>291</v>
      </c>
      <c r="Q9" s="30" t="s">
        <v>292</v>
      </c>
      <c r="R9" s="30" t="s">
        <v>293</v>
      </c>
      <c r="S9" s="30" t="s">
        <v>294</v>
      </c>
    </row>
    <row r="10" spans="1:19" x14ac:dyDescent="0.25">
      <c r="A10" s="1"/>
      <c r="B10" s="46">
        <f>ROW(B10) - ROW($B$9)</f>
        <v>1</v>
      </c>
      <c r="C10" s="54" t="s">
        <v>9</v>
      </c>
      <c r="D10" s="79" t="s">
        <v>17</v>
      </c>
      <c r="E10" s="37" t="s">
        <v>66</v>
      </c>
      <c r="F10" s="37" t="s">
        <v>117</v>
      </c>
      <c r="G10" s="37" t="s">
        <v>129</v>
      </c>
      <c r="H10" s="37" t="s">
        <v>179</v>
      </c>
      <c r="I10" s="37" t="s">
        <v>298</v>
      </c>
      <c r="J10" s="37" t="s">
        <v>198</v>
      </c>
      <c r="K10" s="37" t="s">
        <v>240</v>
      </c>
      <c r="L10" s="37">
        <v>4</v>
      </c>
      <c r="M10" s="37">
        <f>L10*5</f>
        <v>20</v>
      </c>
      <c r="N10" s="37">
        <v>100</v>
      </c>
      <c r="O10" s="63" t="s">
        <v>297</v>
      </c>
      <c r="P10" s="38">
        <v>6.0000000000000001E-3</v>
      </c>
      <c r="Q10" s="38">
        <f>P10*N10</f>
        <v>0.6</v>
      </c>
      <c r="R10" s="37"/>
      <c r="S10" s="50"/>
    </row>
    <row r="11" spans="1:19" x14ac:dyDescent="0.25">
      <c r="A11" s="1"/>
      <c r="B11" s="47">
        <f t="shared" ref="B11:B61" si="0">ROW(B11) - ROW($B$9)</f>
        <v>2</v>
      </c>
      <c r="C11" s="54" t="s">
        <v>9</v>
      </c>
      <c r="D11" s="80" t="s">
        <v>18</v>
      </c>
      <c r="E11" s="51" t="s">
        <v>67</v>
      </c>
      <c r="F11" s="51" t="s">
        <v>118</v>
      </c>
      <c r="G11" s="51" t="s">
        <v>130</v>
      </c>
      <c r="H11" s="51" t="s">
        <v>180</v>
      </c>
      <c r="I11" s="51" t="s">
        <v>298</v>
      </c>
      <c r="J11" s="51" t="s">
        <v>199</v>
      </c>
      <c r="K11" s="51" t="s">
        <v>241</v>
      </c>
      <c r="L11" s="51">
        <v>4</v>
      </c>
      <c r="M11" s="51">
        <f t="shared" ref="M11" si="1">L11*5</f>
        <v>20</v>
      </c>
      <c r="N11" s="51">
        <v>40</v>
      </c>
      <c r="O11" s="64" t="s">
        <v>297</v>
      </c>
      <c r="P11" s="52">
        <v>2.8899999999999999E-2</v>
      </c>
      <c r="Q11" s="52">
        <f t="shared" ref="Q11" si="2">P11*N11</f>
        <v>1.1559999999999999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9</v>
      </c>
      <c r="D12" s="79" t="s">
        <v>19</v>
      </c>
      <c r="E12" s="37" t="s">
        <v>68</v>
      </c>
      <c r="F12" s="37" t="s">
        <v>118</v>
      </c>
      <c r="G12" s="37" t="s">
        <v>131</v>
      </c>
      <c r="H12" s="37" t="s">
        <v>181</v>
      </c>
      <c r="I12" s="37" t="s">
        <v>298</v>
      </c>
      <c r="J12" s="37" t="s">
        <v>200</v>
      </c>
      <c r="K12" s="37" t="s">
        <v>242</v>
      </c>
      <c r="L12" s="37">
        <v>1</v>
      </c>
      <c r="M12" s="37">
        <f>L12*5</f>
        <v>5</v>
      </c>
      <c r="N12" s="37">
        <v>50</v>
      </c>
      <c r="O12" s="63" t="s">
        <v>297</v>
      </c>
      <c r="P12" s="38">
        <v>8.5000000000000006E-3</v>
      </c>
      <c r="Q12" s="38">
        <f>P12*N12</f>
        <v>0.42500000000000004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80" t="s">
        <v>20</v>
      </c>
      <c r="E13" s="51" t="s">
        <v>69</v>
      </c>
      <c r="F13" s="51" t="s">
        <v>118</v>
      </c>
      <c r="G13" s="60" t="s">
        <v>132</v>
      </c>
      <c r="H13" s="51" t="s">
        <v>182</v>
      </c>
      <c r="I13" s="51" t="s">
        <v>307</v>
      </c>
      <c r="J13" s="51" t="s">
        <v>308</v>
      </c>
      <c r="K13" s="51" t="s">
        <v>243</v>
      </c>
      <c r="L13" s="51">
        <v>1</v>
      </c>
      <c r="M13" s="51">
        <f t="shared" ref="M13" si="3">L13*5</f>
        <v>5</v>
      </c>
      <c r="N13" s="51">
        <v>100</v>
      </c>
      <c r="O13" s="64" t="s">
        <v>297</v>
      </c>
      <c r="P13" s="52">
        <v>3.0000000000000001E-3</v>
      </c>
      <c r="Q13" s="52">
        <f t="shared" ref="Q13" si="4">P13*N13</f>
        <v>0.3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79" t="s">
        <v>21</v>
      </c>
      <c r="E14" s="37" t="s">
        <v>70</v>
      </c>
      <c r="F14" s="37" t="s">
        <v>118</v>
      </c>
      <c r="G14" s="37" t="s">
        <v>133</v>
      </c>
      <c r="H14" s="37" t="s">
        <v>181</v>
      </c>
      <c r="I14" s="37" t="s">
        <v>298</v>
      </c>
      <c r="J14" s="37" t="s">
        <v>201</v>
      </c>
      <c r="K14" s="37" t="s">
        <v>244</v>
      </c>
      <c r="L14" s="37">
        <v>1</v>
      </c>
      <c r="M14" s="37">
        <f>L14*5</f>
        <v>5</v>
      </c>
      <c r="N14" s="37">
        <v>20</v>
      </c>
      <c r="O14" s="63" t="s">
        <v>297</v>
      </c>
      <c r="P14" s="38">
        <v>2.1700000000000001E-2</v>
      </c>
      <c r="Q14" s="38">
        <f>P14*N14</f>
        <v>0.434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80" t="s">
        <v>22</v>
      </c>
      <c r="E15" s="51" t="s">
        <v>71</v>
      </c>
      <c r="F15" s="51" t="s">
        <v>295</v>
      </c>
      <c r="G15" s="51" t="s">
        <v>134</v>
      </c>
      <c r="H15" s="51" t="s">
        <v>183</v>
      </c>
      <c r="I15" s="51" t="s">
        <v>298</v>
      </c>
      <c r="J15" s="51" t="s">
        <v>202</v>
      </c>
      <c r="K15" s="51" t="s">
        <v>245</v>
      </c>
      <c r="L15" s="51">
        <v>2</v>
      </c>
      <c r="M15" s="51">
        <f t="shared" ref="M15" si="5">L15*5</f>
        <v>10</v>
      </c>
      <c r="N15" s="51">
        <v>20</v>
      </c>
      <c r="O15" s="64" t="s">
        <v>297</v>
      </c>
      <c r="P15" s="52">
        <v>2.7900000000000001E-2</v>
      </c>
      <c r="Q15" s="52">
        <f t="shared" ref="Q15" si="6">P15*N15</f>
        <v>0.55800000000000005</v>
      </c>
      <c r="R15" s="51"/>
      <c r="S15" s="59"/>
    </row>
    <row r="16" spans="1:19" x14ac:dyDescent="0.25">
      <c r="A16" s="1"/>
      <c r="B16" s="46">
        <f>ROW(B16) - ROW($B$9)</f>
        <v>7</v>
      </c>
      <c r="C16" s="54" t="s">
        <v>9</v>
      </c>
      <c r="D16" s="79" t="s">
        <v>23</v>
      </c>
      <c r="E16" s="37" t="s">
        <v>72</v>
      </c>
      <c r="F16" s="37" t="s">
        <v>118</v>
      </c>
      <c r="G16" s="65" t="s">
        <v>135</v>
      </c>
      <c r="H16" s="37" t="s">
        <v>182</v>
      </c>
      <c r="I16" s="37" t="s">
        <v>302</v>
      </c>
      <c r="J16" s="37" t="s">
        <v>301</v>
      </c>
      <c r="K16" s="37" t="s">
        <v>246</v>
      </c>
      <c r="L16" s="37">
        <v>1</v>
      </c>
      <c r="M16" s="37">
        <f>L16*5</f>
        <v>5</v>
      </c>
      <c r="N16" s="37">
        <v>50</v>
      </c>
      <c r="O16" s="63" t="s">
        <v>297</v>
      </c>
      <c r="P16" s="38">
        <v>8.9999999999999993E-3</v>
      </c>
      <c r="Q16" s="38">
        <f>P16*N16</f>
        <v>0.44999999999999996</v>
      </c>
      <c r="R16" s="37"/>
      <c r="S16" s="59"/>
    </row>
    <row r="17" spans="1:19" ht="36" x14ac:dyDescent="0.25">
      <c r="A17" s="1"/>
      <c r="B17" s="47">
        <f t="shared" si="0"/>
        <v>8</v>
      </c>
      <c r="C17" s="54" t="s">
        <v>9</v>
      </c>
      <c r="D17" s="80" t="s">
        <v>24</v>
      </c>
      <c r="E17" s="51" t="s">
        <v>73</v>
      </c>
      <c r="F17" s="51" t="s">
        <v>119</v>
      </c>
      <c r="G17" s="51" t="s">
        <v>136</v>
      </c>
      <c r="H17" s="51" t="s">
        <v>184</v>
      </c>
      <c r="I17" s="51" t="s">
        <v>298</v>
      </c>
      <c r="J17" s="51" t="s">
        <v>203</v>
      </c>
      <c r="K17" s="51" t="s">
        <v>247</v>
      </c>
      <c r="L17" s="51">
        <v>1</v>
      </c>
      <c r="M17" s="51">
        <f t="shared" ref="M17" si="7">L17*5</f>
        <v>5</v>
      </c>
      <c r="N17" s="51">
        <v>50</v>
      </c>
      <c r="O17" s="64" t="s">
        <v>297</v>
      </c>
      <c r="P17" s="52">
        <v>9.1999999999999998E-3</v>
      </c>
      <c r="Q17" s="52">
        <f t="shared" ref="Q17" si="8">P17*N17</f>
        <v>0.45999999999999996</v>
      </c>
      <c r="R17" s="51"/>
      <c r="S17" s="59"/>
    </row>
    <row r="18" spans="1:19" x14ac:dyDescent="0.25">
      <c r="A18" s="1"/>
      <c r="B18" s="46">
        <f>ROW(B18) - ROW($B$9)</f>
        <v>9</v>
      </c>
      <c r="C18" s="54" t="s">
        <v>9</v>
      </c>
      <c r="D18" s="79" t="s">
        <v>25</v>
      </c>
      <c r="E18" s="37" t="s">
        <v>74</v>
      </c>
      <c r="F18" s="37" t="s">
        <v>119</v>
      </c>
      <c r="G18" s="65" t="s">
        <v>137</v>
      </c>
      <c r="H18" s="37" t="s">
        <v>185</v>
      </c>
      <c r="I18" s="37" t="s">
        <v>299</v>
      </c>
      <c r="J18" s="37" t="s">
        <v>300</v>
      </c>
      <c r="K18" s="37" t="s">
        <v>248</v>
      </c>
      <c r="L18" s="37">
        <v>1</v>
      </c>
      <c r="M18" s="37">
        <f>L18*5</f>
        <v>5</v>
      </c>
      <c r="N18" s="37">
        <v>100</v>
      </c>
      <c r="O18" s="63" t="s">
        <v>297</v>
      </c>
      <c r="P18" s="38">
        <v>3.8E-3</v>
      </c>
      <c r="Q18" s="38">
        <f>P18*N18</f>
        <v>0.38</v>
      </c>
      <c r="R18" s="37"/>
      <c r="S18" s="59"/>
    </row>
    <row r="19" spans="1:19" ht="36" x14ac:dyDescent="0.25">
      <c r="A19" s="1"/>
      <c r="B19" s="47">
        <f t="shared" si="0"/>
        <v>10</v>
      </c>
      <c r="C19" s="54" t="s">
        <v>9</v>
      </c>
      <c r="D19" s="80" t="s">
        <v>26</v>
      </c>
      <c r="E19" s="51" t="s">
        <v>75</v>
      </c>
      <c r="F19" s="51" t="s">
        <v>120</v>
      </c>
      <c r="G19" s="51" t="s">
        <v>138</v>
      </c>
      <c r="H19" s="51" t="s">
        <v>184</v>
      </c>
      <c r="I19" s="51" t="s">
        <v>298</v>
      </c>
      <c r="J19" s="51" t="s">
        <v>204</v>
      </c>
      <c r="K19" s="51" t="s">
        <v>240</v>
      </c>
      <c r="L19" s="51">
        <v>2</v>
      </c>
      <c r="M19" s="51">
        <f t="shared" ref="M19" si="9">L19*5</f>
        <v>10</v>
      </c>
      <c r="N19" s="51">
        <v>11</v>
      </c>
      <c r="O19" s="64" t="s">
        <v>297</v>
      </c>
      <c r="P19" s="52">
        <v>0.41370000000000001</v>
      </c>
      <c r="Q19" s="52">
        <f t="shared" ref="Q19" si="10">P19*N19</f>
        <v>4.5507</v>
      </c>
      <c r="R19" s="51"/>
      <c r="S19" s="59"/>
    </row>
    <row r="20" spans="1:19" ht="24" x14ac:dyDescent="0.25">
      <c r="A20" s="1"/>
      <c r="B20" s="46">
        <f>ROW(B20) - ROW($B$9)</f>
        <v>11</v>
      </c>
      <c r="C20" s="54" t="s">
        <v>9</v>
      </c>
      <c r="D20" s="79" t="s">
        <v>27</v>
      </c>
      <c r="E20" s="37" t="s">
        <v>76</v>
      </c>
      <c r="F20" s="37" t="s">
        <v>121</v>
      </c>
      <c r="G20" s="37" t="s">
        <v>139</v>
      </c>
      <c r="H20" s="37" t="s">
        <v>186</v>
      </c>
      <c r="I20" s="37" t="s">
        <v>298</v>
      </c>
      <c r="J20" s="37" t="s">
        <v>205</v>
      </c>
      <c r="K20" s="37" t="s">
        <v>249</v>
      </c>
      <c r="L20" s="37">
        <v>1</v>
      </c>
      <c r="M20" s="37">
        <f>L20*5</f>
        <v>5</v>
      </c>
      <c r="N20" s="37">
        <v>50</v>
      </c>
      <c r="O20" s="63" t="s">
        <v>297</v>
      </c>
      <c r="P20" s="38">
        <v>1.29E-2</v>
      </c>
      <c r="Q20" s="38">
        <f>P20*N20</f>
        <v>0.64500000000000002</v>
      </c>
      <c r="R20" s="37"/>
      <c r="S20" s="59"/>
    </row>
    <row r="21" spans="1:19" x14ac:dyDescent="0.25">
      <c r="A21" s="1"/>
      <c r="B21" s="47">
        <f t="shared" si="0"/>
        <v>12</v>
      </c>
      <c r="C21" s="54" t="s">
        <v>9</v>
      </c>
      <c r="D21" s="80" t="s">
        <v>28</v>
      </c>
      <c r="E21" s="51" t="s">
        <v>77</v>
      </c>
      <c r="F21" s="51" t="s">
        <v>120</v>
      </c>
      <c r="G21" s="65" t="s">
        <v>140</v>
      </c>
      <c r="H21" s="51" t="s">
        <v>182</v>
      </c>
      <c r="I21" s="51" t="s">
        <v>303</v>
      </c>
      <c r="J21" s="51" t="s">
        <v>304</v>
      </c>
      <c r="K21" s="51" t="s">
        <v>250</v>
      </c>
      <c r="L21" s="51">
        <v>1</v>
      </c>
      <c r="M21" s="51">
        <f t="shared" ref="M21" si="11">L21*5</f>
        <v>5</v>
      </c>
      <c r="N21" s="51">
        <v>6</v>
      </c>
      <c r="O21" s="64" t="s">
        <v>297</v>
      </c>
      <c r="P21" s="52">
        <v>0.31819999999999998</v>
      </c>
      <c r="Q21" s="52">
        <f t="shared" ref="Q21" si="12">P21*N21</f>
        <v>1.9091999999999998</v>
      </c>
      <c r="R21" s="51"/>
      <c r="S21" s="59"/>
    </row>
    <row r="22" spans="1:19" x14ac:dyDescent="0.25">
      <c r="A22" s="1"/>
      <c r="B22" s="46">
        <f>ROW(B22) - ROW($B$9)</f>
        <v>13</v>
      </c>
      <c r="C22" s="54" t="s">
        <v>9</v>
      </c>
      <c r="D22" s="79" t="s">
        <v>29</v>
      </c>
      <c r="E22" s="37" t="s">
        <v>78</v>
      </c>
      <c r="F22" s="37" t="s">
        <v>119</v>
      </c>
      <c r="G22" s="65" t="s">
        <v>141</v>
      </c>
      <c r="H22" s="37" t="s">
        <v>187</v>
      </c>
      <c r="I22" s="37" t="s">
        <v>305</v>
      </c>
      <c r="J22" s="37" t="s">
        <v>306</v>
      </c>
      <c r="K22" s="37" t="s">
        <v>251</v>
      </c>
      <c r="L22" s="37">
        <v>1</v>
      </c>
      <c r="M22" s="37">
        <f>L22*5</f>
        <v>5</v>
      </c>
      <c r="N22" s="37">
        <v>50</v>
      </c>
      <c r="O22" s="63" t="s">
        <v>297</v>
      </c>
      <c r="P22" s="38">
        <v>5.1000000000000004E-3</v>
      </c>
      <c r="Q22" s="38">
        <f>P22*N22</f>
        <v>0.255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9</v>
      </c>
      <c r="D23" s="80" t="s">
        <v>30</v>
      </c>
      <c r="E23" s="51" t="s">
        <v>79</v>
      </c>
      <c r="F23" s="51" t="s">
        <v>118</v>
      </c>
      <c r="G23" s="51" t="s">
        <v>142</v>
      </c>
      <c r="H23" s="51" t="s">
        <v>187</v>
      </c>
      <c r="I23" s="51" t="s">
        <v>298</v>
      </c>
      <c r="J23" s="51" t="s">
        <v>206</v>
      </c>
      <c r="K23" s="51" t="s">
        <v>252</v>
      </c>
      <c r="L23" s="51">
        <v>1</v>
      </c>
      <c r="M23" s="51">
        <f t="shared" ref="M23" si="13">L23*5</f>
        <v>5</v>
      </c>
      <c r="N23" s="51">
        <v>10</v>
      </c>
      <c r="O23" s="64" t="s">
        <v>297</v>
      </c>
      <c r="P23" s="52">
        <v>6.9199999999999998E-2</v>
      </c>
      <c r="Q23" s="52">
        <f t="shared" ref="Q23" si="14">P23*N23</f>
        <v>0.69199999999999995</v>
      </c>
      <c r="R23" s="51"/>
      <c r="S23" s="59"/>
    </row>
    <row r="24" spans="1:19" ht="36" x14ac:dyDescent="0.25">
      <c r="A24" s="1"/>
      <c r="B24" s="46">
        <f>ROW(B24) - ROW($B$9)</f>
        <v>15</v>
      </c>
      <c r="C24" s="53" t="s">
        <v>10</v>
      </c>
      <c r="D24" s="79" t="s">
        <v>31</v>
      </c>
      <c r="E24" s="37" t="s">
        <v>80</v>
      </c>
      <c r="F24" s="37" t="s">
        <v>122</v>
      </c>
      <c r="G24" s="37" t="s">
        <v>143</v>
      </c>
      <c r="H24" s="37" t="s">
        <v>188</v>
      </c>
      <c r="I24" s="37" t="s">
        <v>298</v>
      </c>
      <c r="J24" s="37" t="s">
        <v>207</v>
      </c>
      <c r="K24" s="37" t="s">
        <v>298</v>
      </c>
      <c r="L24" s="37">
        <v>1</v>
      </c>
      <c r="M24" s="37">
        <f>L24*5</f>
        <v>5</v>
      </c>
      <c r="N24" s="37">
        <v>10</v>
      </c>
      <c r="O24" s="63" t="s">
        <v>297</v>
      </c>
      <c r="P24" s="38">
        <v>8.3599999999999994E-2</v>
      </c>
      <c r="Q24" s="38">
        <f>P24*N24</f>
        <v>0.83599999999999997</v>
      </c>
      <c r="R24" s="37"/>
      <c r="S24" s="59"/>
    </row>
    <row r="25" spans="1:19" ht="36" x14ac:dyDescent="0.25">
      <c r="A25" s="1"/>
      <c r="B25" s="47">
        <f t="shared" si="0"/>
        <v>16</v>
      </c>
      <c r="C25" s="54" t="s">
        <v>10</v>
      </c>
      <c r="D25" s="80" t="s">
        <v>32</v>
      </c>
      <c r="E25" s="51" t="s">
        <v>81</v>
      </c>
      <c r="F25" s="51" t="s">
        <v>123</v>
      </c>
      <c r="G25" s="51" t="s">
        <v>144</v>
      </c>
      <c r="H25" s="51" t="s">
        <v>189</v>
      </c>
      <c r="I25" s="51" t="s">
        <v>298</v>
      </c>
      <c r="J25" s="51" t="s">
        <v>144</v>
      </c>
      <c r="K25" s="51" t="s">
        <v>298</v>
      </c>
      <c r="L25" s="51">
        <v>1</v>
      </c>
      <c r="M25" s="51">
        <f t="shared" ref="M25" si="15">L25*5</f>
        <v>5</v>
      </c>
      <c r="N25" s="51">
        <v>50</v>
      </c>
      <c r="O25" s="64" t="s">
        <v>297</v>
      </c>
      <c r="P25" s="52">
        <v>1.41E-2</v>
      </c>
      <c r="Q25" s="52">
        <f t="shared" ref="Q25" si="16">P25*N25</f>
        <v>0.70499999999999996</v>
      </c>
      <c r="R25" s="51"/>
      <c r="S25" s="59"/>
    </row>
    <row r="26" spans="1:19" ht="36" x14ac:dyDescent="0.25">
      <c r="A26" s="1"/>
      <c r="B26" s="46">
        <f>ROW(B26) - ROW($B$9)</f>
        <v>17</v>
      </c>
      <c r="C26" s="53" t="s">
        <v>11</v>
      </c>
      <c r="D26" s="79" t="s">
        <v>33</v>
      </c>
      <c r="E26" s="37" t="s">
        <v>82</v>
      </c>
      <c r="F26" s="37" t="s">
        <v>295</v>
      </c>
      <c r="G26" s="37" t="s">
        <v>145</v>
      </c>
      <c r="H26" s="37" t="s">
        <v>190</v>
      </c>
      <c r="I26" s="37" t="s">
        <v>298</v>
      </c>
      <c r="J26" s="37" t="s">
        <v>208</v>
      </c>
      <c r="K26" s="37" t="s">
        <v>298</v>
      </c>
      <c r="L26" s="37">
        <v>1</v>
      </c>
      <c r="M26" s="37">
        <f>L26*5</f>
        <v>5</v>
      </c>
      <c r="N26" s="37">
        <v>6</v>
      </c>
      <c r="O26" s="63" t="s">
        <v>297</v>
      </c>
      <c r="P26" s="38">
        <v>0.17749999999999999</v>
      </c>
      <c r="Q26" s="38">
        <f>P26*N26</f>
        <v>1.0649999999999999</v>
      </c>
      <c r="R26" s="37"/>
      <c r="S26" s="59"/>
    </row>
    <row r="27" spans="1:19" ht="36" x14ac:dyDescent="0.25">
      <c r="A27" s="1"/>
      <c r="B27" s="47">
        <f t="shared" si="0"/>
        <v>18</v>
      </c>
      <c r="C27" s="54" t="s">
        <v>13</v>
      </c>
      <c r="D27" s="80" t="s">
        <v>314</v>
      </c>
      <c r="E27" s="51" t="s">
        <v>315</v>
      </c>
      <c r="F27" s="51" t="s">
        <v>295</v>
      </c>
      <c r="G27" s="51" t="s">
        <v>316</v>
      </c>
      <c r="H27" s="51" t="s">
        <v>317</v>
      </c>
      <c r="I27" s="51" t="s">
        <v>298</v>
      </c>
      <c r="J27" s="51" t="s">
        <v>318</v>
      </c>
      <c r="K27" s="51" t="s">
        <v>253</v>
      </c>
      <c r="L27" s="51">
        <v>2</v>
      </c>
      <c r="M27" s="51">
        <f t="shared" ref="M27" si="17">L27*5</f>
        <v>10</v>
      </c>
      <c r="N27" s="51">
        <v>15</v>
      </c>
      <c r="O27" s="64" t="s">
        <v>297</v>
      </c>
      <c r="P27" s="52">
        <v>0.30580000000000002</v>
      </c>
      <c r="Q27" s="52">
        <f t="shared" ref="Q27" si="18">P27*N27</f>
        <v>4.5870000000000006</v>
      </c>
      <c r="R27" s="51"/>
      <c r="S27" s="59"/>
    </row>
    <row r="28" spans="1:19" ht="24" x14ac:dyDescent="0.25">
      <c r="A28" s="1"/>
      <c r="B28" s="46">
        <f>ROW(B28) - ROW($B$9)</f>
        <v>19</v>
      </c>
      <c r="C28" s="53" t="s">
        <v>12</v>
      </c>
      <c r="D28" s="79" t="s">
        <v>34</v>
      </c>
      <c r="E28" s="37" t="s">
        <v>84</v>
      </c>
      <c r="F28" s="37" t="s">
        <v>124</v>
      </c>
      <c r="G28" s="37" t="s">
        <v>147</v>
      </c>
      <c r="H28" s="37" t="s">
        <v>181</v>
      </c>
      <c r="I28" s="37" t="s">
        <v>298</v>
      </c>
      <c r="J28" s="37" t="s">
        <v>210</v>
      </c>
      <c r="K28" s="37" t="s">
        <v>254</v>
      </c>
      <c r="L28" s="37">
        <v>13</v>
      </c>
      <c r="M28" s="37">
        <f>L28*5</f>
        <v>65</v>
      </c>
      <c r="N28" s="37">
        <v>80</v>
      </c>
      <c r="O28" s="63" t="s">
        <v>297</v>
      </c>
      <c r="P28" s="38">
        <v>2.23E-2</v>
      </c>
      <c r="Q28" s="38">
        <f>P28*N28</f>
        <v>1.784</v>
      </c>
      <c r="R28" s="37"/>
      <c r="S28" s="59"/>
    </row>
    <row r="29" spans="1:19" ht="24" x14ac:dyDescent="0.25">
      <c r="A29" s="1"/>
      <c r="B29" s="47">
        <f t="shared" si="0"/>
        <v>20</v>
      </c>
      <c r="C29" s="54" t="s">
        <v>13</v>
      </c>
      <c r="D29" s="80" t="s">
        <v>319</v>
      </c>
      <c r="E29" s="51" t="s">
        <v>85</v>
      </c>
      <c r="F29" s="51" t="s">
        <v>295</v>
      </c>
      <c r="G29" s="51" t="s">
        <v>148</v>
      </c>
      <c r="H29" s="51" t="s">
        <v>192</v>
      </c>
      <c r="I29" s="51" t="s">
        <v>298</v>
      </c>
      <c r="J29" s="51" t="s">
        <v>211</v>
      </c>
      <c r="K29" s="51" t="s">
        <v>255</v>
      </c>
      <c r="L29" s="51">
        <v>1</v>
      </c>
      <c r="M29" s="51">
        <f t="shared" ref="M29" si="19">L29*5</f>
        <v>5</v>
      </c>
      <c r="N29" s="51">
        <v>10</v>
      </c>
      <c r="O29" s="64" t="s">
        <v>297</v>
      </c>
      <c r="P29" s="52">
        <v>7.5499999999999998E-2</v>
      </c>
      <c r="Q29" s="52">
        <f t="shared" ref="Q29" si="20">P29*N29</f>
        <v>0.755</v>
      </c>
      <c r="R29" s="51"/>
      <c r="S29" s="59"/>
    </row>
    <row r="30" spans="1:19" x14ac:dyDescent="0.25">
      <c r="A30" s="1"/>
      <c r="B30" s="46">
        <f>ROW(B30) - ROW($B$9)</f>
        <v>21</v>
      </c>
      <c r="C30" s="53" t="s">
        <v>12</v>
      </c>
      <c r="D30" s="79" t="s">
        <v>35</v>
      </c>
      <c r="E30" s="37" t="s">
        <v>86</v>
      </c>
      <c r="F30" s="37" t="s">
        <v>124</v>
      </c>
      <c r="G30" s="37" t="s">
        <v>149</v>
      </c>
      <c r="H30" s="37" t="s">
        <v>181</v>
      </c>
      <c r="I30" s="37" t="s">
        <v>298</v>
      </c>
      <c r="J30" s="37" t="s">
        <v>212</v>
      </c>
      <c r="K30" s="37" t="s">
        <v>256</v>
      </c>
      <c r="L30" s="37">
        <v>4</v>
      </c>
      <c r="M30" s="37">
        <f>L30*5</f>
        <v>20</v>
      </c>
      <c r="N30" s="37">
        <v>40</v>
      </c>
      <c r="O30" s="63" t="s">
        <v>297</v>
      </c>
      <c r="P30" s="38">
        <v>2.2499999999999999E-2</v>
      </c>
      <c r="Q30" s="38">
        <f>P30*N30</f>
        <v>0.89999999999999991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12</v>
      </c>
      <c r="D31" s="80" t="s">
        <v>36</v>
      </c>
      <c r="E31" s="51" t="s">
        <v>87</v>
      </c>
      <c r="F31" s="51" t="s">
        <v>124</v>
      </c>
      <c r="G31" s="51" t="s">
        <v>150</v>
      </c>
      <c r="H31" s="51" t="s">
        <v>181</v>
      </c>
      <c r="I31" s="51" t="s">
        <v>298</v>
      </c>
      <c r="J31" s="51" t="s">
        <v>213</v>
      </c>
      <c r="K31" s="51" t="s">
        <v>257</v>
      </c>
      <c r="L31" s="51">
        <v>2</v>
      </c>
      <c r="M31" s="51">
        <f t="shared" ref="M31" si="21">L31*5</f>
        <v>10</v>
      </c>
      <c r="N31" s="51">
        <v>20</v>
      </c>
      <c r="O31" s="64" t="s">
        <v>297</v>
      </c>
      <c r="P31" s="52">
        <v>0.03</v>
      </c>
      <c r="Q31" s="52">
        <f t="shared" ref="Q31" si="22">P31*N31</f>
        <v>0.6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12</v>
      </c>
      <c r="D32" s="79" t="s">
        <v>37</v>
      </c>
      <c r="E32" s="37" t="s">
        <v>88</v>
      </c>
      <c r="F32" s="37" t="s">
        <v>124</v>
      </c>
      <c r="G32" s="37" t="s">
        <v>151</v>
      </c>
      <c r="H32" s="37" t="s">
        <v>181</v>
      </c>
      <c r="I32" s="37" t="s">
        <v>298</v>
      </c>
      <c r="J32" s="37" t="s">
        <v>214</v>
      </c>
      <c r="K32" s="37" t="s">
        <v>258</v>
      </c>
      <c r="L32" s="37">
        <v>1</v>
      </c>
      <c r="M32" s="37">
        <f>L32*5</f>
        <v>5</v>
      </c>
      <c r="N32" s="37">
        <v>20</v>
      </c>
      <c r="O32" s="63" t="s">
        <v>297</v>
      </c>
      <c r="P32" s="38">
        <v>2.8400000000000002E-2</v>
      </c>
      <c r="Q32" s="38">
        <f>P32*N32</f>
        <v>0.56800000000000006</v>
      </c>
      <c r="R32" s="37"/>
      <c r="S32" s="59"/>
    </row>
    <row r="33" spans="1:19" ht="24" x14ac:dyDescent="0.25">
      <c r="A33" s="1"/>
      <c r="B33" s="46"/>
      <c r="C33" s="54" t="s">
        <v>13</v>
      </c>
      <c r="D33" s="80" t="s">
        <v>320</v>
      </c>
      <c r="E33" s="51" t="s">
        <v>321</v>
      </c>
      <c r="F33" s="51" t="s">
        <v>295</v>
      </c>
      <c r="G33" s="51" t="s">
        <v>322</v>
      </c>
      <c r="H33" s="51" t="s">
        <v>317</v>
      </c>
      <c r="I33" s="37" t="s">
        <v>298</v>
      </c>
      <c r="J33" s="51" t="s">
        <v>323</v>
      </c>
      <c r="K33" s="51" t="s">
        <v>255</v>
      </c>
      <c r="L33" s="51">
        <v>1</v>
      </c>
      <c r="M33" s="37">
        <f t="shared" ref="M33:M34" si="23">L33*5</f>
        <v>5</v>
      </c>
      <c r="N33" s="37">
        <v>10</v>
      </c>
      <c r="O33" s="63" t="s">
        <v>297</v>
      </c>
      <c r="P33" s="38">
        <v>0.34499999999999997</v>
      </c>
      <c r="Q33" s="38">
        <f>P33*N33</f>
        <v>3.4499999999999997</v>
      </c>
      <c r="R33" s="37"/>
      <c r="S33" s="59"/>
    </row>
    <row r="34" spans="1:19" x14ac:dyDescent="0.25">
      <c r="A34" s="1"/>
      <c r="B34" s="47">
        <f t="shared" si="0"/>
        <v>25</v>
      </c>
      <c r="C34" s="54" t="s">
        <v>12</v>
      </c>
      <c r="D34" s="80" t="s">
        <v>38</v>
      </c>
      <c r="E34" s="51" t="s">
        <v>89</v>
      </c>
      <c r="F34" s="51" t="s">
        <v>124</v>
      </c>
      <c r="G34" s="51" t="s">
        <v>152</v>
      </c>
      <c r="H34" s="51" t="s">
        <v>181</v>
      </c>
      <c r="I34" s="51" t="s">
        <v>298</v>
      </c>
      <c r="J34" s="51" t="s">
        <v>215</v>
      </c>
      <c r="K34" s="51" t="s">
        <v>259</v>
      </c>
      <c r="L34" s="51">
        <v>2</v>
      </c>
      <c r="M34" s="37">
        <f t="shared" si="23"/>
        <v>10</v>
      </c>
      <c r="N34" s="51">
        <v>20</v>
      </c>
      <c r="O34" s="64" t="s">
        <v>297</v>
      </c>
      <c r="P34" s="52">
        <v>2.9600000000000001E-2</v>
      </c>
      <c r="Q34" s="52">
        <f t="shared" ref="Q34" si="24">P34*N34</f>
        <v>0.59200000000000008</v>
      </c>
      <c r="R34" s="51"/>
      <c r="S34" s="59"/>
    </row>
    <row r="35" spans="1:19" x14ac:dyDescent="0.25">
      <c r="A35" s="1"/>
      <c r="B35" s="46">
        <f>ROW(B35) - ROW($B$9)</f>
        <v>26</v>
      </c>
      <c r="C35" s="53" t="s">
        <v>12</v>
      </c>
      <c r="D35" s="79" t="s">
        <v>39</v>
      </c>
      <c r="E35" s="37" t="s">
        <v>90</v>
      </c>
      <c r="F35" s="37" t="s">
        <v>124</v>
      </c>
      <c r="G35" s="37" t="s">
        <v>153</v>
      </c>
      <c r="H35" s="37" t="s">
        <v>181</v>
      </c>
      <c r="I35" s="37" t="s">
        <v>298</v>
      </c>
      <c r="J35" s="37" t="s">
        <v>216</v>
      </c>
      <c r="K35" s="37" t="s">
        <v>260</v>
      </c>
      <c r="L35" s="37">
        <v>1</v>
      </c>
      <c r="M35" s="37">
        <f>L35*5</f>
        <v>5</v>
      </c>
      <c r="N35" s="37">
        <v>20</v>
      </c>
      <c r="O35" s="63" t="s">
        <v>297</v>
      </c>
      <c r="P35" s="38">
        <v>2.7199999999999998E-2</v>
      </c>
      <c r="Q35" s="38">
        <f>P35*N35</f>
        <v>0.54399999999999993</v>
      </c>
      <c r="R35" s="37"/>
      <c r="S35" s="59"/>
    </row>
    <row r="36" spans="1:19" ht="24" x14ac:dyDescent="0.25">
      <c r="A36" s="1"/>
      <c r="B36" s="47">
        <f t="shared" si="0"/>
        <v>27</v>
      </c>
      <c r="C36" s="54" t="s">
        <v>12</v>
      </c>
      <c r="D36" s="80" t="s">
        <v>40</v>
      </c>
      <c r="E36" s="51" t="s">
        <v>91</v>
      </c>
      <c r="F36" s="51" t="s">
        <v>124</v>
      </c>
      <c r="G36" s="51" t="s">
        <v>154</v>
      </c>
      <c r="H36" s="51" t="s">
        <v>193</v>
      </c>
      <c r="I36" s="51" t="s">
        <v>298</v>
      </c>
      <c r="J36" s="51" t="s">
        <v>217</v>
      </c>
      <c r="K36" s="51" t="s">
        <v>261</v>
      </c>
      <c r="L36" s="51">
        <v>2</v>
      </c>
      <c r="M36" s="51">
        <f t="shared" ref="M36" si="25">L36*5</f>
        <v>10</v>
      </c>
      <c r="N36" s="51">
        <v>50</v>
      </c>
      <c r="O36" s="64" t="s">
        <v>297</v>
      </c>
      <c r="P36" s="52">
        <v>8.3000000000000001E-3</v>
      </c>
      <c r="Q36" s="52">
        <f t="shared" ref="Q36" si="26">P36*N36</f>
        <v>0.41499999999999998</v>
      </c>
      <c r="R36" s="51"/>
      <c r="S36" s="59"/>
    </row>
    <row r="37" spans="1:19" ht="24" x14ac:dyDescent="0.25">
      <c r="A37" s="1"/>
      <c r="B37" s="46">
        <f>ROW(B37) - ROW($B$9)</f>
        <v>28</v>
      </c>
      <c r="C37" s="53" t="s">
        <v>12</v>
      </c>
      <c r="D37" s="79" t="s">
        <v>41</v>
      </c>
      <c r="E37" s="37" t="s">
        <v>92</v>
      </c>
      <c r="F37" s="37" t="s">
        <v>125</v>
      </c>
      <c r="G37" s="37" t="s">
        <v>155</v>
      </c>
      <c r="H37" s="37" t="s">
        <v>193</v>
      </c>
      <c r="I37" s="37" t="s">
        <v>298</v>
      </c>
      <c r="J37" s="37" t="s">
        <v>218</v>
      </c>
      <c r="K37" s="37" t="s">
        <v>262</v>
      </c>
      <c r="L37" s="37">
        <v>3</v>
      </c>
      <c r="M37" s="37">
        <f>L37*5</f>
        <v>15</v>
      </c>
      <c r="N37" s="37">
        <v>20</v>
      </c>
      <c r="O37" s="63" t="s">
        <v>297</v>
      </c>
      <c r="P37" s="38">
        <v>4.2999999999999997E-2</v>
      </c>
      <c r="Q37" s="38">
        <f>P37*N37</f>
        <v>0.85999999999999988</v>
      </c>
      <c r="R37" s="37"/>
      <c r="S37" s="59"/>
    </row>
    <row r="38" spans="1:19" ht="24" x14ac:dyDescent="0.25">
      <c r="A38" s="1"/>
      <c r="B38" s="47">
        <f t="shared" si="0"/>
        <v>29</v>
      </c>
      <c r="C38" s="54" t="s">
        <v>12</v>
      </c>
      <c r="D38" s="80" t="s">
        <v>42</v>
      </c>
      <c r="E38" s="51" t="s">
        <v>93</v>
      </c>
      <c r="F38" s="51" t="s">
        <v>126</v>
      </c>
      <c r="G38" s="51" t="s">
        <v>156</v>
      </c>
      <c r="H38" s="51" t="s">
        <v>193</v>
      </c>
      <c r="I38" s="51" t="s">
        <v>298</v>
      </c>
      <c r="J38" s="51" t="s">
        <v>219</v>
      </c>
      <c r="K38" s="51" t="s">
        <v>263</v>
      </c>
      <c r="L38" s="51">
        <v>2</v>
      </c>
      <c r="M38" s="51">
        <f t="shared" ref="M38" si="27">L38*5</f>
        <v>10</v>
      </c>
      <c r="N38" s="51">
        <v>20</v>
      </c>
      <c r="O38" s="64" t="s">
        <v>297</v>
      </c>
      <c r="P38" s="52">
        <v>2.5100000000000001E-2</v>
      </c>
      <c r="Q38" s="52">
        <f t="shared" ref="Q38" si="28">P38*N38</f>
        <v>0.502</v>
      </c>
      <c r="R38" s="51"/>
      <c r="S38" s="59"/>
    </row>
    <row r="39" spans="1:19" ht="24" x14ac:dyDescent="0.25">
      <c r="A39" s="1"/>
      <c r="B39" s="46">
        <f>ROW(B39) - ROW($B$9)</f>
        <v>30</v>
      </c>
      <c r="C39" s="53" t="s">
        <v>12</v>
      </c>
      <c r="D39" s="79" t="s">
        <v>43</v>
      </c>
      <c r="E39" s="37" t="s">
        <v>94</v>
      </c>
      <c r="F39" s="37" t="s">
        <v>124</v>
      </c>
      <c r="G39" s="37" t="s">
        <v>157</v>
      </c>
      <c r="H39" s="37" t="s">
        <v>193</v>
      </c>
      <c r="I39" s="37" t="s">
        <v>298</v>
      </c>
      <c r="J39" s="37" t="s">
        <v>220</v>
      </c>
      <c r="K39" s="37" t="s">
        <v>264</v>
      </c>
      <c r="L39" s="37">
        <v>3</v>
      </c>
      <c r="M39" s="37">
        <f>L39*5</f>
        <v>15</v>
      </c>
      <c r="N39" s="37">
        <v>20</v>
      </c>
      <c r="O39" s="63" t="s">
        <v>297</v>
      </c>
      <c r="P39" s="38">
        <v>2.86E-2</v>
      </c>
      <c r="Q39" s="38">
        <f>P39*N39</f>
        <v>0.57200000000000006</v>
      </c>
      <c r="R39" s="37"/>
      <c r="S39" s="59"/>
    </row>
    <row r="40" spans="1:19" x14ac:dyDescent="0.25">
      <c r="A40" s="1"/>
      <c r="B40" s="47">
        <f t="shared" si="0"/>
        <v>31</v>
      </c>
      <c r="C40" s="54" t="s">
        <v>12</v>
      </c>
      <c r="D40" s="80" t="s">
        <v>44</v>
      </c>
      <c r="E40" s="51" t="s">
        <v>95</v>
      </c>
      <c r="F40" s="51" t="s">
        <v>124</v>
      </c>
      <c r="G40" s="51" t="s">
        <v>158</v>
      </c>
      <c r="H40" s="51" t="s">
        <v>181</v>
      </c>
      <c r="I40" s="51" t="s">
        <v>298</v>
      </c>
      <c r="J40" s="51" t="s">
        <v>221</v>
      </c>
      <c r="K40" s="51" t="s">
        <v>265</v>
      </c>
      <c r="L40" s="51">
        <v>2</v>
      </c>
      <c r="M40" s="51">
        <f t="shared" ref="M40" si="29">L40*5</f>
        <v>10</v>
      </c>
      <c r="N40" s="51">
        <v>50</v>
      </c>
      <c r="O40" s="64" t="s">
        <v>297</v>
      </c>
      <c r="P40" s="52">
        <v>8.2000000000000007E-3</v>
      </c>
      <c r="Q40" s="52">
        <f t="shared" ref="Q40" si="30">P40*N40</f>
        <v>0.41000000000000003</v>
      </c>
      <c r="R40" s="51"/>
      <c r="S40" s="59"/>
    </row>
    <row r="41" spans="1:19" x14ac:dyDescent="0.25">
      <c r="A41" s="1"/>
      <c r="B41" s="46">
        <f>ROW(B41) - ROW($B$9)</f>
        <v>32</v>
      </c>
      <c r="C41" s="53" t="s">
        <v>12</v>
      </c>
      <c r="D41" s="79" t="s">
        <v>45</v>
      </c>
      <c r="E41" s="37" t="s">
        <v>96</v>
      </c>
      <c r="F41" s="37" t="s">
        <v>124</v>
      </c>
      <c r="G41" s="37" t="s">
        <v>159</v>
      </c>
      <c r="H41" s="37" t="s">
        <v>181</v>
      </c>
      <c r="I41" s="37" t="s">
        <v>298</v>
      </c>
      <c r="J41" s="37" t="s">
        <v>222</v>
      </c>
      <c r="K41" s="37" t="s">
        <v>266</v>
      </c>
      <c r="L41" s="37">
        <v>3</v>
      </c>
      <c r="M41" s="37">
        <f>L41*5</f>
        <v>15</v>
      </c>
      <c r="N41" s="37">
        <v>20</v>
      </c>
      <c r="O41" s="63" t="s">
        <v>297</v>
      </c>
      <c r="P41" s="38">
        <v>2.98E-2</v>
      </c>
      <c r="Q41" s="38">
        <f>P41*N41</f>
        <v>0.59599999999999997</v>
      </c>
      <c r="R41" s="37"/>
      <c r="S41" s="59"/>
    </row>
    <row r="42" spans="1:19" x14ac:dyDescent="0.25">
      <c r="A42" s="1"/>
      <c r="B42" s="47">
        <f t="shared" si="0"/>
        <v>33</v>
      </c>
      <c r="C42" s="54"/>
      <c r="D42" s="80" t="s">
        <v>46</v>
      </c>
      <c r="E42" s="51" t="s">
        <v>97</v>
      </c>
      <c r="F42" s="51" t="s">
        <v>126</v>
      </c>
      <c r="G42" s="51" t="s">
        <v>160</v>
      </c>
      <c r="H42" s="51" t="s">
        <v>181</v>
      </c>
      <c r="I42" s="51" t="s">
        <v>298</v>
      </c>
      <c r="J42" s="51" t="s">
        <v>223</v>
      </c>
      <c r="K42" s="51" t="s">
        <v>267</v>
      </c>
      <c r="L42" s="51">
        <v>3</v>
      </c>
      <c r="M42" s="51">
        <f t="shared" ref="M42" si="31">L42*5</f>
        <v>15</v>
      </c>
      <c r="N42" s="51">
        <v>100</v>
      </c>
      <c r="O42" s="64" t="s">
        <v>297</v>
      </c>
      <c r="P42" s="52">
        <v>6.9999999999999999E-4</v>
      </c>
      <c r="Q42" s="52">
        <f t="shared" ref="Q42" si="32">P42*N42</f>
        <v>6.9999999999999993E-2</v>
      </c>
      <c r="R42" s="51"/>
      <c r="S42" s="59"/>
    </row>
    <row r="43" spans="1:19" x14ac:dyDescent="0.25">
      <c r="A43" s="1"/>
      <c r="B43" s="46">
        <f>ROW(B43) - ROW($B$9)</f>
        <v>34</v>
      </c>
      <c r="C43" s="53" t="s">
        <v>12</v>
      </c>
      <c r="D43" s="79" t="s">
        <v>47</v>
      </c>
      <c r="E43" s="37" t="s">
        <v>98</v>
      </c>
      <c r="F43" s="37" t="s">
        <v>124</v>
      </c>
      <c r="G43" s="37" t="s">
        <v>161</v>
      </c>
      <c r="H43" s="37" t="s">
        <v>181</v>
      </c>
      <c r="I43" s="37" t="s">
        <v>298</v>
      </c>
      <c r="J43" s="37" t="s">
        <v>224</v>
      </c>
      <c r="K43" s="37" t="s">
        <v>268</v>
      </c>
      <c r="L43" s="37">
        <v>2</v>
      </c>
      <c r="M43" s="37">
        <f>L43*5</f>
        <v>10</v>
      </c>
      <c r="N43" s="37">
        <v>100</v>
      </c>
      <c r="O43" s="63" t="s">
        <v>297</v>
      </c>
      <c r="P43" s="38">
        <v>1.1999999999999999E-3</v>
      </c>
      <c r="Q43" s="38">
        <f>P43*N43</f>
        <v>0.12</v>
      </c>
      <c r="R43" s="37"/>
      <c r="S43" s="59"/>
    </row>
    <row r="44" spans="1:19" ht="24" x14ac:dyDescent="0.25">
      <c r="A44" s="1"/>
      <c r="B44" s="47">
        <f t="shared" si="0"/>
        <v>35</v>
      </c>
      <c r="C44" s="54" t="s">
        <v>12</v>
      </c>
      <c r="D44" s="80" t="s">
        <v>48</v>
      </c>
      <c r="E44" s="51" t="s">
        <v>99</v>
      </c>
      <c r="F44" s="51" t="s">
        <v>124</v>
      </c>
      <c r="G44" s="51" t="s">
        <v>162</v>
      </c>
      <c r="H44" s="51" t="s">
        <v>193</v>
      </c>
      <c r="I44" s="51" t="s">
        <v>298</v>
      </c>
      <c r="J44" s="51" t="s">
        <v>225</v>
      </c>
      <c r="K44" s="51" t="s">
        <v>269</v>
      </c>
      <c r="L44" s="51">
        <v>3</v>
      </c>
      <c r="M44" s="51">
        <f t="shared" ref="M44" si="33">L44*5</f>
        <v>15</v>
      </c>
      <c r="N44" s="51">
        <v>20</v>
      </c>
      <c r="O44" s="64" t="s">
        <v>297</v>
      </c>
      <c r="P44" s="52">
        <v>2.7199999999999998E-2</v>
      </c>
      <c r="Q44" s="52">
        <f t="shared" ref="Q44" si="34">P44*N44</f>
        <v>0.54399999999999993</v>
      </c>
      <c r="R44" s="51"/>
      <c r="S44" s="59"/>
    </row>
    <row r="45" spans="1:19" x14ac:dyDescent="0.25">
      <c r="A45" s="1"/>
      <c r="B45" s="46">
        <f>ROW(B45) - ROW($B$9)</f>
        <v>36</v>
      </c>
      <c r="C45" s="53" t="s">
        <v>12</v>
      </c>
      <c r="D45" s="79" t="s">
        <v>49</v>
      </c>
      <c r="E45" s="37" t="s">
        <v>100</v>
      </c>
      <c r="F45" s="37" t="s">
        <v>126</v>
      </c>
      <c r="G45" s="37" t="s">
        <v>163</v>
      </c>
      <c r="H45" s="37" t="s">
        <v>181</v>
      </c>
      <c r="I45" s="37" t="s">
        <v>298</v>
      </c>
      <c r="J45" s="37" t="s">
        <v>226</v>
      </c>
      <c r="K45" s="37" t="s">
        <v>270</v>
      </c>
      <c r="L45" s="37">
        <v>2</v>
      </c>
      <c r="M45" s="37">
        <f>L45*5</f>
        <v>10</v>
      </c>
      <c r="N45" s="37">
        <v>20</v>
      </c>
      <c r="O45" s="63" t="s">
        <v>297</v>
      </c>
      <c r="P45" s="38">
        <v>2.4899999999999999E-2</v>
      </c>
      <c r="Q45" s="38">
        <f>P45*N45</f>
        <v>0.498</v>
      </c>
      <c r="R45" s="37"/>
      <c r="S45" s="59"/>
    </row>
    <row r="46" spans="1:19" ht="24" x14ac:dyDescent="0.25">
      <c r="A46" s="1"/>
      <c r="B46" s="47">
        <f t="shared" si="0"/>
        <v>37</v>
      </c>
      <c r="C46" s="54" t="s">
        <v>12</v>
      </c>
      <c r="D46" s="80" t="s">
        <v>50</v>
      </c>
      <c r="E46" s="51" t="s">
        <v>101</v>
      </c>
      <c r="F46" s="51" t="s">
        <v>124</v>
      </c>
      <c r="G46" s="51" t="s">
        <v>164</v>
      </c>
      <c r="H46" s="51" t="s">
        <v>193</v>
      </c>
      <c r="I46" s="51" t="s">
        <v>298</v>
      </c>
      <c r="J46" s="51" t="s">
        <v>227</v>
      </c>
      <c r="K46" s="51" t="s">
        <v>271</v>
      </c>
      <c r="L46" s="51">
        <v>3</v>
      </c>
      <c r="M46" s="51">
        <f t="shared" ref="M46" si="35">L46*5</f>
        <v>15</v>
      </c>
      <c r="N46" s="51">
        <v>20</v>
      </c>
      <c r="O46" s="64" t="s">
        <v>297</v>
      </c>
      <c r="P46" s="52">
        <v>3.0200000000000001E-2</v>
      </c>
      <c r="Q46" s="52">
        <f t="shared" ref="Q46" si="36">P46*N46</f>
        <v>0.60399999999999998</v>
      </c>
      <c r="R46" s="51"/>
      <c r="S46" s="59"/>
    </row>
    <row r="47" spans="1:19" x14ac:dyDescent="0.25">
      <c r="A47" s="1"/>
      <c r="B47" s="46">
        <f>ROW(B47) - ROW($B$9)</f>
        <v>38</v>
      </c>
      <c r="C47" s="53" t="s">
        <v>12</v>
      </c>
      <c r="D47" s="79" t="s">
        <v>51</v>
      </c>
      <c r="E47" s="37" t="s">
        <v>102</v>
      </c>
      <c r="F47" s="37" t="s">
        <v>124</v>
      </c>
      <c r="G47" s="37" t="s">
        <v>165</v>
      </c>
      <c r="H47" s="37" t="s">
        <v>181</v>
      </c>
      <c r="I47" s="37" t="s">
        <v>298</v>
      </c>
      <c r="J47" s="37" t="s">
        <v>228</v>
      </c>
      <c r="K47" s="37" t="s">
        <v>272</v>
      </c>
      <c r="L47" s="37">
        <v>2</v>
      </c>
      <c r="M47" s="37">
        <f>L47*5</f>
        <v>10</v>
      </c>
      <c r="N47" s="37">
        <v>20</v>
      </c>
      <c r="O47" s="63" t="s">
        <v>297</v>
      </c>
      <c r="P47" s="38">
        <v>2.7799999999999998E-2</v>
      </c>
      <c r="Q47" s="38">
        <f>P47*N47</f>
        <v>0.55599999999999994</v>
      </c>
      <c r="R47" s="37"/>
      <c r="S47" s="59"/>
    </row>
    <row r="48" spans="1:19" ht="36" x14ac:dyDescent="0.25">
      <c r="A48" s="1"/>
      <c r="B48" s="47">
        <f t="shared" si="0"/>
        <v>39</v>
      </c>
      <c r="C48" s="54" t="s">
        <v>12</v>
      </c>
      <c r="D48" s="80" t="s">
        <v>52</v>
      </c>
      <c r="E48" s="51" t="s">
        <v>103</v>
      </c>
      <c r="F48" s="51" t="s">
        <v>125</v>
      </c>
      <c r="G48" s="51" t="s">
        <v>166</v>
      </c>
      <c r="H48" s="51" t="s">
        <v>193</v>
      </c>
      <c r="I48" s="51" t="s">
        <v>298</v>
      </c>
      <c r="J48" s="51" t="s">
        <v>229</v>
      </c>
      <c r="K48" s="51" t="s">
        <v>273</v>
      </c>
      <c r="L48" s="51">
        <v>2</v>
      </c>
      <c r="M48" s="51">
        <f t="shared" ref="M48" si="37">L48*5</f>
        <v>10</v>
      </c>
      <c r="N48" s="51">
        <v>20</v>
      </c>
      <c r="O48" s="64" t="s">
        <v>297</v>
      </c>
      <c r="P48" s="52">
        <v>3.2399999999999998E-2</v>
      </c>
      <c r="Q48" s="52">
        <f t="shared" ref="Q48" si="38">P48*N48</f>
        <v>0.64799999999999991</v>
      </c>
      <c r="R48" s="51"/>
      <c r="S48" s="59"/>
    </row>
    <row r="49" spans="1:19" x14ac:dyDescent="0.25">
      <c r="A49" s="1"/>
      <c r="B49" s="46">
        <f>ROW(B49) - ROW($B$9)</f>
        <v>40</v>
      </c>
      <c r="C49" s="53" t="s">
        <v>12</v>
      </c>
      <c r="D49" s="79" t="s">
        <v>53</v>
      </c>
      <c r="E49" s="37" t="s">
        <v>104</v>
      </c>
      <c r="F49" s="37" t="s">
        <v>126</v>
      </c>
      <c r="G49" s="37" t="s">
        <v>167</v>
      </c>
      <c r="H49" s="37" t="s">
        <v>181</v>
      </c>
      <c r="I49" s="51" t="s">
        <v>298</v>
      </c>
      <c r="J49" s="37" t="s">
        <v>230</v>
      </c>
      <c r="K49" s="37" t="s">
        <v>274</v>
      </c>
      <c r="L49" s="37">
        <v>3</v>
      </c>
      <c r="M49" s="37">
        <f>L49*5</f>
        <v>15</v>
      </c>
      <c r="N49" s="37">
        <v>20</v>
      </c>
      <c r="O49" s="63" t="s">
        <v>297</v>
      </c>
      <c r="P49" s="38">
        <v>2.58E-2</v>
      </c>
      <c r="Q49" s="38">
        <f>P49*N49</f>
        <v>0.51600000000000001</v>
      </c>
      <c r="R49" s="37"/>
      <c r="S49" s="59"/>
    </row>
    <row r="50" spans="1:19" x14ac:dyDescent="0.25">
      <c r="A50" s="1"/>
      <c r="B50" s="47">
        <f t="shared" si="0"/>
        <v>41</v>
      </c>
      <c r="C50" s="54" t="s">
        <v>12</v>
      </c>
      <c r="D50" s="80" t="s">
        <v>54</v>
      </c>
      <c r="E50" s="51" t="s">
        <v>105</v>
      </c>
      <c r="F50" s="51" t="s">
        <v>124</v>
      </c>
      <c r="G50" s="51" t="s">
        <v>168</v>
      </c>
      <c r="H50" s="51" t="s">
        <v>181</v>
      </c>
      <c r="I50" s="51" t="s">
        <v>298</v>
      </c>
      <c r="J50" s="51" t="s">
        <v>231</v>
      </c>
      <c r="K50" s="51" t="s">
        <v>275</v>
      </c>
      <c r="L50" s="51">
        <v>1</v>
      </c>
      <c r="M50" s="51">
        <f t="shared" ref="M50" si="39">L50*5</f>
        <v>5</v>
      </c>
      <c r="N50" s="51">
        <v>20</v>
      </c>
      <c r="O50" s="64" t="s">
        <v>297</v>
      </c>
      <c r="P50" s="52">
        <v>2.9399999999999999E-2</v>
      </c>
      <c r="Q50" s="52">
        <f t="shared" ref="Q50" si="40">P50*N50</f>
        <v>0.58799999999999997</v>
      </c>
      <c r="R50" s="51"/>
      <c r="S50" s="59"/>
    </row>
    <row r="51" spans="1:19" ht="36" x14ac:dyDescent="0.25">
      <c r="A51" s="1"/>
      <c r="B51" s="46">
        <f>ROW(B51) - ROW($B$9)</f>
        <v>42</v>
      </c>
      <c r="C51" s="53" t="s">
        <v>12</v>
      </c>
      <c r="D51" s="79" t="s">
        <v>55</v>
      </c>
      <c r="E51" s="37" t="s">
        <v>106</v>
      </c>
      <c r="F51" s="37" t="s">
        <v>125</v>
      </c>
      <c r="G51" s="37" t="s">
        <v>169</v>
      </c>
      <c r="H51" s="37" t="s">
        <v>194</v>
      </c>
      <c r="I51" s="51" t="s">
        <v>298</v>
      </c>
      <c r="J51" s="37" t="s">
        <v>232</v>
      </c>
      <c r="K51" s="37" t="s">
        <v>276</v>
      </c>
      <c r="L51" s="37">
        <v>1</v>
      </c>
      <c r="M51" s="37">
        <f>L51*5</f>
        <v>5</v>
      </c>
      <c r="N51" s="37">
        <v>100</v>
      </c>
      <c r="O51" s="63" t="s">
        <v>297</v>
      </c>
      <c r="P51" s="38">
        <v>1.9E-3</v>
      </c>
      <c r="Q51" s="38">
        <f>P51*N51</f>
        <v>0.19</v>
      </c>
      <c r="R51" s="37"/>
      <c r="S51" s="59"/>
    </row>
    <row r="52" spans="1:19" x14ac:dyDescent="0.25">
      <c r="A52" s="1"/>
      <c r="B52" s="47">
        <f t="shared" si="0"/>
        <v>43</v>
      </c>
      <c r="C52" s="54" t="s">
        <v>12</v>
      </c>
      <c r="D52" s="80" t="s">
        <v>56</v>
      </c>
      <c r="E52" s="51" t="s">
        <v>107</v>
      </c>
      <c r="F52" s="51" t="s">
        <v>125</v>
      </c>
      <c r="G52" s="51" t="s">
        <v>170</v>
      </c>
      <c r="H52" s="51" t="s">
        <v>181</v>
      </c>
      <c r="I52" s="51" t="s">
        <v>298</v>
      </c>
      <c r="J52" s="51" t="s">
        <v>233</v>
      </c>
      <c r="K52" s="51" t="s">
        <v>277</v>
      </c>
      <c r="L52" s="51">
        <v>1</v>
      </c>
      <c r="M52" s="51">
        <f t="shared" ref="M52" si="41">L52*5</f>
        <v>5</v>
      </c>
      <c r="N52" s="51">
        <v>20</v>
      </c>
      <c r="O52" s="64" t="s">
        <v>297</v>
      </c>
      <c r="P52" s="52">
        <v>3.8600000000000002E-2</v>
      </c>
      <c r="Q52" s="52">
        <f t="shared" ref="Q52" si="42">P52*N52</f>
        <v>0.77200000000000002</v>
      </c>
      <c r="R52" s="51"/>
      <c r="S52" s="59"/>
    </row>
    <row r="53" spans="1:19" ht="36" x14ac:dyDescent="0.25">
      <c r="A53" s="1"/>
      <c r="B53" s="46">
        <f>ROW(B53) - ROW($B$9)</f>
        <v>44</v>
      </c>
      <c r="C53" s="53" t="s">
        <v>12</v>
      </c>
      <c r="D53" s="79" t="s">
        <v>57</v>
      </c>
      <c r="E53" s="37" t="s">
        <v>108</v>
      </c>
      <c r="F53" s="37" t="s">
        <v>126</v>
      </c>
      <c r="G53" s="37" t="s">
        <v>171</v>
      </c>
      <c r="H53" s="37" t="s">
        <v>193</v>
      </c>
      <c r="I53" s="51" t="s">
        <v>298</v>
      </c>
      <c r="J53" s="37" t="s">
        <v>234</v>
      </c>
      <c r="K53" s="37" t="s">
        <v>278</v>
      </c>
      <c r="L53" s="37">
        <v>1</v>
      </c>
      <c r="M53" s="37">
        <f>L53*5</f>
        <v>5</v>
      </c>
      <c r="N53" s="37">
        <v>20</v>
      </c>
      <c r="O53" s="63" t="s">
        <v>297</v>
      </c>
      <c r="P53" s="38">
        <v>2.1700000000000001E-2</v>
      </c>
      <c r="Q53" s="38">
        <f>P53*N53</f>
        <v>0.434</v>
      </c>
      <c r="R53" s="37"/>
      <c r="S53" s="59"/>
    </row>
    <row r="54" spans="1:19" ht="36" x14ac:dyDescent="0.25">
      <c r="A54" s="1"/>
      <c r="B54" s="47">
        <f t="shared" si="0"/>
        <v>45</v>
      </c>
      <c r="C54" s="54" t="s">
        <v>12</v>
      </c>
      <c r="D54" s="51" t="s">
        <v>58</v>
      </c>
      <c r="E54" s="51" t="s">
        <v>109</v>
      </c>
      <c r="F54" s="51" t="s">
        <v>125</v>
      </c>
      <c r="G54" s="51" t="s">
        <v>172</v>
      </c>
      <c r="H54" s="51" t="s">
        <v>193</v>
      </c>
      <c r="I54" s="51" t="s">
        <v>298</v>
      </c>
      <c r="J54" s="51" t="s">
        <v>235</v>
      </c>
      <c r="K54" s="51" t="s">
        <v>279</v>
      </c>
      <c r="L54" s="51">
        <v>1</v>
      </c>
      <c r="M54" s="51">
        <f t="shared" ref="M54" si="43">L54*5</f>
        <v>5</v>
      </c>
      <c r="N54" s="51">
        <v>20</v>
      </c>
      <c r="O54" s="64" t="s">
        <v>297</v>
      </c>
      <c r="P54" s="52">
        <v>3.1199999999999999E-2</v>
      </c>
      <c r="Q54" s="52">
        <f t="shared" ref="Q54" si="44">P54*N54</f>
        <v>0.624</v>
      </c>
      <c r="R54" s="51"/>
      <c r="S54" s="59"/>
    </row>
    <row r="55" spans="1:19" x14ac:dyDescent="0.25">
      <c r="A55" s="1"/>
      <c r="B55" s="46">
        <f>ROW(B55) - ROW($B$9)</f>
        <v>46</v>
      </c>
      <c r="C55" s="53" t="s">
        <v>12</v>
      </c>
      <c r="D55" s="37" t="s">
        <v>59</v>
      </c>
      <c r="E55" s="37" t="s">
        <v>110</v>
      </c>
      <c r="F55" s="37" t="s">
        <v>126</v>
      </c>
      <c r="G55" s="37" t="s">
        <v>173</v>
      </c>
      <c r="H55" s="37" t="s">
        <v>181</v>
      </c>
      <c r="I55" s="51" t="s">
        <v>298</v>
      </c>
      <c r="J55" s="37" t="s">
        <v>236</v>
      </c>
      <c r="K55" s="37" t="s">
        <v>280</v>
      </c>
      <c r="L55" s="37">
        <v>1</v>
      </c>
      <c r="M55" s="37">
        <f>L55*5</f>
        <v>5</v>
      </c>
      <c r="N55" s="37">
        <v>20</v>
      </c>
      <c r="O55" s="63" t="s">
        <v>297</v>
      </c>
      <c r="P55" s="38">
        <v>2.52E-2</v>
      </c>
      <c r="Q55" s="38">
        <f>P55*N55</f>
        <v>0.504</v>
      </c>
      <c r="R55" s="37"/>
      <c r="S55" s="59"/>
    </row>
    <row r="56" spans="1:19" ht="36" x14ac:dyDescent="0.25">
      <c r="A56" s="1"/>
      <c r="B56" s="47">
        <f t="shared" si="0"/>
        <v>47</v>
      </c>
      <c r="C56" s="54" t="s">
        <v>12</v>
      </c>
      <c r="D56" s="51" t="s">
        <v>60</v>
      </c>
      <c r="E56" s="51" t="s">
        <v>111</v>
      </c>
      <c r="F56" s="51" t="s">
        <v>124</v>
      </c>
      <c r="G56" s="51" t="s">
        <v>174</v>
      </c>
      <c r="H56" s="51" t="s">
        <v>193</v>
      </c>
      <c r="I56" s="51" t="s">
        <v>298</v>
      </c>
      <c r="J56" s="51" t="s">
        <v>237</v>
      </c>
      <c r="K56" s="51" t="s">
        <v>281</v>
      </c>
      <c r="L56" s="51">
        <v>1</v>
      </c>
      <c r="M56" s="51">
        <f t="shared" ref="M56:M57" si="45">L56*5</f>
        <v>5</v>
      </c>
      <c r="N56" s="51">
        <v>20</v>
      </c>
      <c r="O56" s="64" t="s">
        <v>297</v>
      </c>
      <c r="P56" s="52">
        <v>2.3699999999999999E-2</v>
      </c>
      <c r="Q56" s="52">
        <f t="shared" ref="Q56:Q57" si="46">P56*N56</f>
        <v>0.47399999999999998</v>
      </c>
      <c r="R56" s="51"/>
      <c r="S56" s="59"/>
    </row>
    <row r="57" spans="1:19" x14ac:dyDescent="0.25">
      <c r="A57" s="1"/>
      <c r="B57" s="47">
        <f t="shared" si="0"/>
        <v>48</v>
      </c>
      <c r="C57" s="54" t="s">
        <v>13</v>
      </c>
      <c r="D57" s="51" t="s">
        <v>324</v>
      </c>
      <c r="E57" s="51" t="s">
        <v>83</v>
      </c>
      <c r="F57" s="51" t="s">
        <v>295</v>
      </c>
      <c r="G57" s="51" t="s">
        <v>146</v>
      </c>
      <c r="H57" s="51" t="s">
        <v>191</v>
      </c>
      <c r="I57" s="51"/>
      <c r="J57" s="51" t="s">
        <v>209</v>
      </c>
      <c r="K57" s="51" t="s">
        <v>253</v>
      </c>
      <c r="L57" s="51">
        <v>1</v>
      </c>
      <c r="M57" s="51">
        <f t="shared" si="45"/>
        <v>5</v>
      </c>
      <c r="N57" s="37">
        <v>10</v>
      </c>
      <c r="O57" s="63" t="s">
        <v>297</v>
      </c>
      <c r="P57" s="38">
        <v>0.14399999999999999</v>
      </c>
      <c r="Q57" s="38">
        <f t="shared" si="46"/>
        <v>1.44</v>
      </c>
      <c r="R57" s="37"/>
      <c r="S57" s="59"/>
    </row>
    <row r="58" spans="1:19" x14ac:dyDescent="0.25">
      <c r="A58" s="1"/>
      <c r="B58" s="46">
        <f>ROW(B58) - ROW($B$9)</f>
        <v>49</v>
      </c>
      <c r="C58" s="53" t="s">
        <v>12</v>
      </c>
      <c r="D58" s="37" t="s">
        <v>61</v>
      </c>
      <c r="E58" s="37" t="s">
        <v>112</v>
      </c>
      <c r="F58" s="37" t="s">
        <v>124</v>
      </c>
      <c r="G58" s="37" t="s">
        <v>175</v>
      </c>
      <c r="H58" s="37" t="s">
        <v>181</v>
      </c>
      <c r="I58" s="51" t="s">
        <v>298</v>
      </c>
      <c r="J58" s="37" t="s">
        <v>238</v>
      </c>
      <c r="K58" s="37" t="s">
        <v>282</v>
      </c>
      <c r="L58" s="37">
        <v>2</v>
      </c>
      <c r="M58" s="37">
        <f>L58*5</f>
        <v>10</v>
      </c>
      <c r="N58" s="37">
        <v>20</v>
      </c>
      <c r="O58" s="63" t="s">
        <v>297</v>
      </c>
      <c r="P58" s="38">
        <v>2.5399999999999999E-2</v>
      </c>
      <c r="Q58" s="38">
        <f>P58*N58</f>
        <v>0.50800000000000001</v>
      </c>
      <c r="R58" s="37"/>
      <c r="S58" s="59"/>
    </row>
    <row r="59" spans="1:19" x14ac:dyDescent="0.25">
      <c r="A59" s="1"/>
      <c r="B59" s="47">
        <f t="shared" si="0"/>
        <v>50</v>
      </c>
      <c r="C59" s="54" t="s">
        <v>14</v>
      </c>
      <c r="D59" s="60" t="s">
        <v>62</v>
      </c>
      <c r="E59" s="60" t="s">
        <v>113</v>
      </c>
      <c r="F59" s="60" t="s">
        <v>295</v>
      </c>
      <c r="G59" s="60" t="s">
        <v>14</v>
      </c>
      <c r="H59" s="60" t="s">
        <v>298</v>
      </c>
      <c r="I59" s="51" t="s">
        <v>298</v>
      </c>
      <c r="J59" s="60" t="s">
        <v>298</v>
      </c>
      <c r="K59" s="60" t="s">
        <v>298</v>
      </c>
      <c r="L59" s="60">
        <v>2</v>
      </c>
      <c r="M59" s="60">
        <f t="shared" ref="M59" si="47">L59*5</f>
        <v>10</v>
      </c>
      <c r="N59" s="60" t="s">
        <v>298</v>
      </c>
      <c r="O59" s="60" t="s">
        <v>298</v>
      </c>
      <c r="P59" s="61" t="s">
        <v>298</v>
      </c>
      <c r="Q59" s="61" t="s">
        <v>298</v>
      </c>
      <c r="R59" s="60"/>
      <c r="S59" s="62"/>
    </row>
    <row r="60" spans="1:19" ht="48" x14ac:dyDescent="0.25">
      <c r="A60" s="1"/>
      <c r="B60" s="46">
        <f>ROW(B60) - ROW($B$9)</f>
        <v>51</v>
      </c>
      <c r="C60" s="53" t="s">
        <v>15</v>
      </c>
      <c r="D60" s="37" t="s">
        <v>63</v>
      </c>
      <c r="E60" s="37" t="s">
        <v>114</v>
      </c>
      <c r="F60" s="37" t="s">
        <v>295</v>
      </c>
      <c r="G60" s="37" t="s">
        <v>176</v>
      </c>
      <c r="H60" s="37" t="s">
        <v>195</v>
      </c>
      <c r="I60" s="51" t="s">
        <v>298</v>
      </c>
      <c r="J60" s="37" t="s">
        <v>239</v>
      </c>
      <c r="K60" s="37" t="s">
        <v>298</v>
      </c>
      <c r="L60" s="37">
        <v>9</v>
      </c>
      <c r="M60" s="37">
        <f>L60*5</f>
        <v>45</v>
      </c>
      <c r="N60" s="37">
        <v>47</v>
      </c>
      <c r="O60" s="63" t="s">
        <v>297</v>
      </c>
      <c r="P60" s="38">
        <v>0.46460000000000001</v>
      </c>
      <c r="Q60" s="38">
        <f>P60*N60</f>
        <v>21.836200000000002</v>
      </c>
      <c r="R60" s="37"/>
      <c r="S60" s="59"/>
    </row>
    <row r="61" spans="1:19" ht="15.75" thickBot="1" x14ac:dyDescent="0.3">
      <c r="A61" s="1"/>
      <c r="B61" s="47">
        <f t="shared" si="0"/>
        <v>52</v>
      </c>
      <c r="C61" s="54" t="s">
        <v>309</v>
      </c>
      <c r="D61" s="51" t="s">
        <v>64</v>
      </c>
      <c r="E61" s="51" t="s">
        <v>115</v>
      </c>
      <c r="F61" s="51" t="s">
        <v>127</v>
      </c>
      <c r="G61" s="51" t="s">
        <v>177</v>
      </c>
      <c r="H61" s="51" t="s">
        <v>196</v>
      </c>
      <c r="I61" s="51" t="s">
        <v>298</v>
      </c>
      <c r="J61" s="51" t="s">
        <v>296</v>
      </c>
      <c r="K61" s="51" t="s">
        <v>298</v>
      </c>
      <c r="L61" s="51">
        <v>3</v>
      </c>
      <c r="M61" s="51">
        <f t="shared" ref="M61" si="48">L61*5</f>
        <v>15</v>
      </c>
      <c r="N61" s="51">
        <v>20</v>
      </c>
      <c r="O61" s="64" t="s">
        <v>297</v>
      </c>
      <c r="P61" s="52">
        <v>0.1139</v>
      </c>
      <c r="Q61" s="52">
        <f t="shared" ref="Q61" si="49">P61*N61</f>
        <v>2.278</v>
      </c>
      <c r="R61" s="51"/>
      <c r="S61" s="39"/>
    </row>
    <row r="62" spans="1:19" ht="19.5" thickBot="1" x14ac:dyDescent="0.3">
      <c r="A62" s="1"/>
      <c r="B62" s="40"/>
      <c r="C62" s="41"/>
      <c r="D62" s="42"/>
      <c r="E62" s="43"/>
      <c r="F62" s="44"/>
      <c r="G62" s="45"/>
      <c r="H62" s="44"/>
      <c r="I62" s="45"/>
      <c r="J62" s="44"/>
      <c r="K62" s="45"/>
      <c r="L62" s="45"/>
      <c r="M62" s="45"/>
      <c r="N62" s="96" t="s">
        <v>5</v>
      </c>
      <c r="O62" s="97"/>
      <c r="P62" s="97"/>
      <c r="Q62" s="48">
        <f>SUM(Q10:Q61)</f>
        <v>65.76009999999998</v>
      </c>
      <c r="R62" s="98"/>
      <c r="S62" s="99"/>
    </row>
    <row r="63" spans="1:19" ht="19.5" thickBot="1" x14ac:dyDescent="0.3">
      <c r="A63" s="1"/>
      <c r="B63" s="25"/>
      <c r="C63" s="36"/>
      <c r="D63" s="9"/>
      <c r="E63" s="10"/>
      <c r="F63" s="10"/>
      <c r="G63" s="10"/>
      <c r="H63" s="10"/>
      <c r="I63" s="10"/>
      <c r="J63" s="10"/>
      <c r="K63" s="10"/>
      <c r="L63" s="10"/>
      <c r="M63" s="10"/>
      <c r="N63" s="96" t="s">
        <v>6</v>
      </c>
      <c r="O63" s="97"/>
      <c r="P63" s="97"/>
      <c r="Q63" s="49">
        <f>Q62/5</f>
        <v>13.152019999999997</v>
      </c>
      <c r="R63" s="100"/>
      <c r="S63" s="101"/>
    </row>
  </sheetData>
  <mergeCells count="5">
    <mergeCell ref="K1:S1"/>
    <mergeCell ref="S3:S8"/>
    <mergeCell ref="R62:S63"/>
    <mergeCell ref="N62:P62"/>
    <mergeCell ref="N63:P63"/>
  </mergeCells>
  <hyperlinks>
    <hyperlink ref="O10" r:id="rId1"/>
    <hyperlink ref="O11" r:id="rId2"/>
    <hyperlink ref="O12" r:id="rId3"/>
    <hyperlink ref="O14" r:id="rId4"/>
    <hyperlink ref="O15" r:id="rId5"/>
    <hyperlink ref="O17" r:id="rId6"/>
    <hyperlink ref="O19" r:id="rId7"/>
    <hyperlink ref="O20" r:id="rId8"/>
    <hyperlink ref="O23" r:id="rId9"/>
    <hyperlink ref="O24" r:id="rId10" display="lCSC"/>
    <hyperlink ref="O25" r:id="rId11"/>
    <hyperlink ref="O26" r:id="rId12"/>
    <hyperlink ref="O28" r:id="rId13"/>
    <hyperlink ref="O29" r:id="rId14"/>
    <hyperlink ref="O30" r:id="rId15"/>
    <hyperlink ref="O31" r:id="rId16"/>
    <hyperlink ref="O32" r:id="rId17"/>
    <hyperlink ref="O34" r:id="rId18"/>
    <hyperlink ref="O35" r:id="rId19"/>
    <hyperlink ref="O36" r:id="rId20"/>
    <hyperlink ref="O37" r:id="rId21"/>
    <hyperlink ref="O38" r:id="rId22"/>
    <hyperlink ref="O39" r:id="rId23"/>
    <hyperlink ref="O40" r:id="rId24"/>
    <hyperlink ref="O41" r:id="rId25"/>
    <hyperlink ref="O42" r:id="rId26"/>
    <hyperlink ref="O43" r:id="rId27"/>
    <hyperlink ref="O44" r:id="rId28"/>
    <hyperlink ref="O45" r:id="rId29"/>
    <hyperlink ref="O46" r:id="rId30"/>
    <hyperlink ref="O47" r:id="rId31"/>
    <hyperlink ref="O48" r:id="rId32"/>
    <hyperlink ref="O49" r:id="rId33"/>
    <hyperlink ref="O50" r:id="rId34"/>
    <hyperlink ref="O51" r:id="rId35"/>
    <hyperlink ref="O52" r:id="rId36"/>
    <hyperlink ref="O53" r:id="rId37"/>
    <hyperlink ref="O54" r:id="rId38"/>
    <hyperlink ref="O55" r:id="rId39"/>
    <hyperlink ref="O56" r:id="rId40"/>
    <hyperlink ref="O58" r:id="rId41"/>
    <hyperlink ref="O60" r:id="rId42"/>
    <hyperlink ref="O61" r:id="rId43"/>
    <hyperlink ref="O18" r:id="rId44"/>
    <hyperlink ref="O16" r:id="rId45"/>
    <hyperlink ref="O21" r:id="rId46"/>
    <hyperlink ref="O22" r:id="rId47"/>
    <hyperlink ref="O13" r:id="rId48"/>
    <hyperlink ref="O27" r:id="rId49"/>
    <hyperlink ref="O33" r:id="rId50"/>
    <hyperlink ref="O57" r:id="rId51"/>
  </hyperlinks>
  <pageMargins left="0.7" right="0.7" top="0.75" bottom="0.75" header="0.3" footer="0.3"/>
  <pageSetup paperSize="9" orientation="portrait" r:id="rId52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Board</vt:lpstr>
      <vt:lpstr>2 Boards</vt:lpstr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2023-03-14T12:02:07Z</dcterms:modified>
</cp:coreProperties>
</file>
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1" r:id="rId1"/>
    <sheet name="2 Boards" sheetId="2" r:id="rId2"/>
    <sheet name="5 Boards" sheetId="3" r:id="rId3"/>
  </sheets>
  <calcPr calcId="162913"/>
</workbook>
</file>

<file path=xl/calcChain.xml><?xml version="1.0" encoding="utf-8"?>
<calcChain xmlns="http://schemas.openxmlformats.org/spreadsheetml/2006/main">
  <c r="K62" i="1" l="1"/>
  <c r="L62" i="2"/>
  <c r="L63" i="2" s="1"/>
  <c r="L62" i="3"/>
  <c r="L63" i="3" s="1"/>
  <c r="K61" i="3" l="1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<sst xmlns="http://schemas.openxmlformats.org/spreadsheetml/2006/main" count="1156" uniqueCount="263">
  <si>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</si>
  <si>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</si>
  <si>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</si>
  <si>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</si>
  <si>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</si>
  <si>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</si>
  <si>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</si>
  <si>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</si>
  <si>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Header</t>
  </si>
  <si>
    <t>Microphone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</si>
  <si>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</si>
  <si>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</si>
  <si>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</si>
  <si>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</si>
  <si>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</si>
  <si>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</si>
  <si>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</si>
  <si>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</si>
  <si>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</si>
  <si>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</si>
  <si>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</si>
  <si>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</si>
  <si>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</si>
  <si>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</si>
  <si>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</si>
  <si>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</si>
  <si>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</si>
  <si>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</si>
  <si>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</si>
  <si>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</si>
  <si>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</si>
  <si>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</si>
  <si>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R2, R3, R4, R7, R8, R9, R48, R52, R65, R66, R68, R69, R70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</si>
  <si>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</si>
  <si>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</si>
  <si>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</si>
  <si>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</si>
  <si>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</si>
  <si>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</si>
  <si>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</si>
  <si>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</si>
  <si>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</si>
  <si>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</si>
  <si>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</si>
  <si>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</si>
  <si>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</si>
  <si>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</si>
  <si>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</si>
  <si>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</si>
  <si>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</si>
  <si>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</si>
  <si>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</si>
  <si>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</si>
  <si>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</si>
  <si>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</si>
  <si>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</si>
  <si>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</si>
  <si>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</si>
  <si>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</si>
  <si>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</si>
  <si>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</si>
  <si>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</si>
  <si>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</si>
  <si>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</si>
  <si>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</si>
  <si>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</si>
  <si>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</si>
  <si>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</si>
  <si>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</si>
  <si>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</si>
  <si>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</si>
  <si>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</si>
  <si>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</si>
  <si>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</si>
  <si>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</si>
  <si>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</si>
  <si>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</si>
  <si>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</si>
  <si>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</si>
  <si>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</si>
  <si>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</si>
  <si>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</si>
  <si>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</si>
  <si>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</si>
  <si>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</si>
  <si>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</si>
  <si>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</si>
  <si>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</si>
  <si>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</si>
  <si>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</si>
  <si>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</si>
  <si>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</si>
  <si>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</si>
  <si>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</si>
  <si>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</si>
  <si>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</si>
  <si>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</si>
  <si>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</si>
  <si>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</si>
  <si>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</si>
  <si>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</si>
  <si>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</si>
  <si>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</si>
  <si>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</si>
  <si>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</si>
  <si>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</si>
  <si>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</si>
  <si>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</si>
  <si>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</si>
  <si>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</si>
  <si>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</si>
  <si>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</si>
  <si>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</si>
  <si>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</si>
  <si>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</si>
  <si>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</si>
  <si>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</si>
  <si>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</si>
  <si>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</si>
  <si>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</si>
  <si>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</si>
  <si>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</si>
  <si>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</si>
  <si>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</si>
  <si>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</si>
  <si>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</si>
  <si>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</si>
  <si>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</si>
  <si>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</si>
  <si>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</si>
  <si>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CC0603JRNPO9BN472</t>
  </si>
  <si>
    <t>RVT1E100M0405</t>
  </si>
  <si>
    <t>GCM155R72A472KA01D</t>
  </si>
  <si>
    <t>GRM31C5C1H104FA01L</t>
  </si>
  <si>
    <t>NL0805B204K500CPBN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</si>
  <si>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</si>
  <si>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</si>
  <si>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</si>
  <si>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</si>
  <si>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</si>
  <si>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</si>
  <si>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</si>
  <si>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</si>
  <si>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</si>
  <si>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</si>
  <si>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</si>
  <si>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</si>
  <si>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</si>
  <si>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</si>
  <si>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</si>
  <si>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</si>
  <si>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</si>
  <si>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</si>
  <si>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</si>
  <si>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</si>
  <si>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</si>
  <si>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</si>
  <si>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</si>
  <si>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</si>
  <si>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</si>
  <si>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</si>
  <si>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</si>
  <si>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</si>
  <si>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</si>
  <si>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</si>
  <si>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</si>
  <si>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</si>
  <si>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</si>
  <si>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</si>
  <si>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</si>
  <si>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</si>
  <si>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</si>
  <si>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</si>
  <si>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</si>
  <si>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</si>
  <si>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</si>
  <si>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</si>
  <si>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</si>
  <si>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</si>
  <si>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</si>
  <si>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</si>
  <si>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</si>
  <si>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</si>
  <si>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</si>
  <si>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</si>
  <si>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</si>
  <si>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</si>
  <si>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</si>
  <si>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</si>
  <si>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</si>
  <si>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</si>
  <si>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</si>
  <si>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</si>
  <si>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</si>
  <si>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</si>
  <si>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</si>
  <si>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</si>
  <si>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</si>
  <si>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</si>
  <si>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</si>
  <si>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</si>
  <si>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</si>
  <si>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</si>
  <si>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</si>
  <si>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</si>
  <si>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</si>
  <si>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</si>
  <si>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</si>
  <si>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</si>
  <si>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</si>
  <si>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</si>
  <si>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</si>
  <si>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</si>
  <si>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</si>
  <si>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</si>
  <si>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</si>
  <si>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</si>
  <si>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</si>
  <si>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</si>
  <si>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</si>
  <si>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</si>
  <si>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</si>
  <si>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</si>
  <si>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</si>
  <si>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</si>
  <si>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</si>
  <si>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</si>
  <si>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</si>
  <si>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</si>
  <si>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</si>
  <si>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</si>
  <si>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</si>
  <si>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</si>
  <si>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Bill of Materials for Project [Xponent-tech]</t>
  </si>
  <si>
    <t>Xponent-tech</t>
  </si>
  <si>
    <t>Custom</t>
  </si>
  <si>
    <t>-</t>
  </si>
  <si>
    <t>IC</t>
  </si>
  <si>
    <t xml:space="preserve"> Remarks</t>
  </si>
  <si>
    <t>Value</t>
  </si>
  <si>
    <t>FN18X473K500PBG</t>
  </si>
  <si>
    <t>CC0603KRX7R0BB223</t>
  </si>
  <si>
    <t>0402B122K250CT</t>
  </si>
  <si>
    <t>GRM31CR61E476ME44L</t>
  </si>
  <si>
    <t>0402N330K250CT</t>
  </si>
  <si>
    <t>Quantity (2 Boards)</t>
  </si>
  <si>
    <t>Quantity (5 Boards)</t>
  </si>
  <si>
    <t>R1, R10</t>
  </si>
  <si>
    <t>Trimmer, Cermet, Rest 100 Kilohms, PCB, 25 Turns, Pwr-Rtg 0.5W, 3296 Series</t>
  </si>
  <si>
    <t>3296W-1-104</t>
  </si>
  <si>
    <t>BOCHEN(Chengdu Guosheng Tech)</t>
  </si>
  <si>
    <t>R5</t>
  </si>
  <si>
    <t>R14</t>
  </si>
  <si>
    <t>Res Cermet Trimmer 500K Ohm 10% 1/2W 25(Elec)Turn</t>
  </si>
  <si>
    <t>3296W-1-504</t>
  </si>
  <si>
    <t>R67</t>
  </si>
  <si>
    <t>Quantity</t>
  </si>
  <si>
    <t>Quantity Per Board</t>
  </si>
  <si>
    <t>Total Cost(5 Boards)</t>
  </si>
  <si>
    <t xml:space="preserve">Total Component Cost </t>
  </si>
  <si>
    <t>Single Board Cost</t>
  </si>
  <si>
    <t>Total Cost (2 Boards)</t>
  </si>
  <si>
    <t>Total Cost (1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</si>
</sst>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3" borderId="0" xfId="0" applyFont="1" applyFill="1" applyBorder="1"/>
    <xf numFmtId="0" fontId="20" fillId="2" borderId="13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0" fillId="3" borderId="6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11" xfId="0" applyFill="1" applyBorder="1"/>
    <xf numFmtId="165" fontId="17" fillId="2" borderId="13" xfId="0" applyNumberFormat="1" applyFont="1" applyFill="1" applyBorder="1" applyAlignment="1">
      <alignment horizontal="center" vertical="center" wrapText="1"/>
    </xf>
    <xf numFmtId="165" fontId="17" fillId="2" borderId="14" xfId="0" applyNumberFormat="1" applyFont="1" applyFill="1" applyBorder="1" applyAlignment="1">
      <alignment horizontal="center" vertical="center" wrapText="1"/>
    </xf>
    <xf numFmtId="165" fontId="19" fillId="2" borderId="14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6" fontId="14" fillId="3" borderId="12" xfId="0" quotePrefix="1" applyNumberFormat="1" applyFont="1" applyFill="1" applyBorder="1" applyAlignment="1">
      <alignment horizontal="center" vertical="center" wrapText="1"/>
    </xf>
    <xf numFmtId="166" fontId="14" fillId="3" borderId="17" xfId="0" applyNumberFormat="1" applyFont="1" applyFill="1" applyBorder="1" applyAlignment="1">
      <alignment horizontal="center" vertical="center"/>
    </xf>
    <xf numFmtId="165" fontId="19" fillId="2" borderId="13" xfId="0" applyNumberFormat="1" applyFont="1" applyFill="1" applyBorder="1" applyAlignment="1">
      <alignment horizontal="center" vertical="center" wrapText="1"/>
    </xf>
    <xf numFmtId="165" fontId="17" fillId="2" borderId="18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6" xfId="0" applyFont="1" applyFill="1" applyBorder="1" applyAlignment="1" applyProtection="1">
      <alignment horizontal="center" vertical="top"/>
      <protection locked="0"/>
    </xf>
    <xf numFmtId="0" fontId="21" fillId="3" borderId="10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782925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539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2"/>
  <sheetViews>
    <sheetView topLeftCell="B37" workbookViewId="0">
      <selection activeCell="E48" sqref="E48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5.7109375" bestFit="1" customWidth="1"/>
    <col min="9" max="9" width="6.140625" bestFit="1" customWidth="1"/>
    <col min="10" max="10" width="18" bestFit="1" customWidth="1"/>
    <col min="11" max="11" width="19.28515625" bestFit="1" customWidth="1"/>
    <col min="12" max="12" width="29.42578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74"/>
    </row>
    <row r="4" spans="1:12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75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75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75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5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5"/>
    </row>
    <row r="9" spans="1:12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256</v>
      </c>
      <c r="K9" s="26" t="s">
        <v>262</v>
      </c>
      <c r="L9" s="26" t="s">
        <v>238</v>
      </c>
    </row>
    <row r="10" spans="1:12" x14ac:dyDescent="0.25">
      <c r="A10" s="1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65">
        <v>0.65</v>
      </c>
      <c r="L10" s="27"/>
    </row>
    <row r="11" spans="1:12" x14ac:dyDescent="0.25">
      <c r="A11" s="1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66">
        <v>0.7</v>
      </c>
      <c r="L11" s="28"/>
    </row>
    <row r="12" spans="1:12" x14ac:dyDescent="0.25">
      <c r="A12" s="1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65">
        <v>0.3</v>
      </c>
      <c r="L12" s="27"/>
    </row>
    <row r="13" spans="1:12" x14ac:dyDescent="0.25">
      <c r="A13" s="1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66">
        <v>0.3</v>
      </c>
      <c r="L13" s="28"/>
    </row>
    <row r="14" spans="1:12" x14ac:dyDescent="0.25">
      <c r="A14" s="1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65">
        <v>0.3</v>
      </c>
      <c r="L14" s="27"/>
    </row>
    <row r="15" spans="1:12" x14ac:dyDescent="0.25">
      <c r="A15" s="1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66">
        <v>1.258</v>
      </c>
      <c r="L15" s="28"/>
    </row>
    <row r="16" spans="1:12" x14ac:dyDescent="0.25">
      <c r="A16" s="1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65">
        <v>0.35</v>
      </c>
      <c r="L16" s="27"/>
    </row>
    <row r="17" spans="1:12" ht="36" x14ac:dyDescent="0.25">
      <c r="A17" s="1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66">
        <v>0.25</v>
      </c>
      <c r="L17" s="28"/>
    </row>
    <row r="18" spans="1:12" x14ac:dyDescent="0.25">
      <c r="A18" s="1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65">
        <v>0.25</v>
      </c>
      <c r="L18" s="27"/>
    </row>
    <row r="19" spans="1:12" ht="36" x14ac:dyDescent="0.25">
      <c r="A19" s="1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66">
        <v>0.4</v>
      </c>
      <c r="L19" s="28"/>
    </row>
    <row r="20" spans="1:12" ht="36" x14ac:dyDescent="0.25">
      <c r="A20" s="1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65">
        <v>0.25</v>
      </c>
      <c r="L20" s="27"/>
    </row>
    <row r="21" spans="1:12" x14ac:dyDescent="0.25">
      <c r="A21" s="1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66">
        <v>0.3</v>
      </c>
      <c r="L21" s="28"/>
    </row>
    <row r="22" spans="1:12" x14ac:dyDescent="0.25">
      <c r="A22" s="1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65">
        <v>0.2</v>
      </c>
      <c r="L22" s="27"/>
    </row>
    <row r="23" spans="1:12" x14ac:dyDescent="0.25">
      <c r="A23" s="1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66">
        <v>0.35</v>
      </c>
      <c r="L23" s="28"/>
    </row>
    <row r="24" spans="1:12" ht="36" x14ac:dyDescent="0.25">
      <c r="A24" s="1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65">
        <v>0.3</v>
      </c>
      <c r="L24" s="27"/>
    </row>
    <row r="25" spans="1:12" ht="36" x14ac:dyDescent="0.25">
      <c r="A25" s="1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66">
        <v>0.35</v>
      </c>
      <c r="L25" s="28"/>
    </row>
    <row r="26" spans="1:12" ht="36" x14ac:dyDescent="0.25">
      <c r="A26" s="1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65">
        <v>1.72</v>
      </c>
      <c r="L26" s="27"/>
    </row>
    <row r="27" spans="1:12" ht="36" x14ac:dyDescent="0.25">
      <c r="A27" s="1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66">
        <v>2.58</v>
      </c>
      <c r="L27" s="28"/>
    </row>
    <row r="28" spans="1:12" ht="24" x14ac:dyDescent="0.25">
      <c r="A28" s="1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65">
        <v>0.88</v>
      </c>
      <c r="L28" s="27"/>
    </row>
    <row r="29" spans="1:12" ht="24" x14ac:dyDescent="0.25">
      <c r="A29" s="1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66">
        <v>0.72</v>
      </c>
      <c r="L29" s="28"/>
    </row>
    <row r="30" spans="1:12" x14ac:dyDescent="0.25">
      <c r="A30" s="1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65">
        <v>0.47</v>
      </c>
      <c r="L30" s="27"/>
    </row>
    <row r="31" spans="1:12" x14ac:dyDescent="0.25">
      <c r="A31" s="1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66">
        <v>0.4</v>
      </c>
      <c r="L31" s="28"/>
    </row>
    <row r="32" spans="1:12" x14ac:dyDescent="0.25">
      <c r="A32" s="1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65">
        <v>0.25</v>
      </c>
      <c r="L32" s="27"/>
    </row>
    <row r="33" spans="1:12" ht="24" x14ac:dyDescent="0.25">
      <c r="A33" s="1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66">
        <v>2.4249999999999998</v>
      </c>
      <c r="L33" s="28"/>
    </row>
    <row r="34" spans="1:12" x14ac:dyDescent="0.25">
      <c r="A34" s="1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65">
        <v>0.45</v>
      </c>
      <c r="L34" s="27"/>
    </row>
    <row r="35" spans="1:12" x14ac:dyDescent="0.25">
      <c r="A35" s="1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65">
        <v>0.3</v>
      </c>
      <c r="L35" s="28"/>
    </row>
    <row r="36" spans="1:12" ht="24" x14ac:dyDescent="0.25">
      <c r="A36" s="1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65">
        <v>0.38</v>
      </c>
      <c r="L36" s="27"/>
    </row>
    <row r="37" spans="1:12" ht="24" x14ac:dyDescent="0.25">
      <c r="A37" s="1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65">
        <v>0.57999999999999996</v>
      </c>
      <c r="L37" s="28"/>
    </row>
    <row r="38" spans="1:12" ht="24" x14ac:dyDescent="0.25">
      <c r="A38" s="1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65">
        <v>0.6</v>
      </c>
      <c r="L38" s="27"/>
    </row>
    <row r="39" spans="1:12" ht="24" x14ac:dyDescent="0.25">
      <c r="A39" s="1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65">
        <v>0.7</v>
      </c>
      <c r="L39" s="28"/>
    </row>
    <row r="40" spans="1:12" x14ac:dyDescent="0.25">
      <c r="A40" s="1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65">
        <v>0.37</v>
      </c>
      <c r="L40" s="27"/>
    </row>
    <row r="41" spans="1:12" x14ac:dyDescent="0.25">
      <c r="A41" s="1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65">
        <v>0.49</v>
      </c>
      <c r="L41" s="28"/>
    </row>
    <row r="42" spans="1:12" x14ac:dyDescent="0.25">
      <c r="A42" s="1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65">
        <v>0.7</v>
      </c>
      <c r="L42" s="27"/>
    </row>
    <row r="43" spans="1:12" x14ac:dyDescent="0.25">
      <c r="A43" s="1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65">
        <v>0.25</v>
      </c>
      <c r="L43" s="28"/>
    </row>
    <row r="44" spans="1:12" ht="24" x14ac:dyDescent="0.25">
      <c r="A44" s="1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65">
        <v>0.45</v>
      </c>
      <c r="L44" s="27"/>
    </row>
    <row r="45" spans="1:12" x14ac:dyDescent="0.25">
      <c r="A45" s="1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65">
        <v>0.36</v>
      </c>
      <c r="L45" s="28"/>
    </row>
    <row r="46" spans="1:12" ht="24" x14ac:dyDescent="0.25">
      <c r="A46" s="1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65">
        <v>0.9</v>
      </c>
      <c r="L46" s="27"/>
    </row>
    <row r="47" spans="1:12" x14ac:dyDescent="0.25">
      <c r="A47" s="1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65">
        <v>0.55000000000000004</v>
      </c>
      <c r="L47" s="28"/>
    </row>
    <row r="48" spans="1:12" ht="48" x14ac:dyDescent="0.25">
      <c r="A48" s="1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65">
        <v>0.65</v>
      </c>
      <c r="L48" s="27"/>
    </row>
    <row r="49" spans="1:12" x14ac:dyDescent="0.25">
      <c r="A49" s="1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65">
        <v>0.85</v>
      </c>
      <c r="L49" s="28"/>
    </row>
    <row r="50" spans="1:12" x14ac:dyDescent="0.25">
      <c r="A50" s="1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65">
        <v>0.2</v>
      </c>
      <c r="L50" s="27"/>
    </row>
    <row r="51" spans="1:12" ht="48" x14ac:dyDescent="0.25">
      <c r="A51" s="1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65">
        <v>0.4</v>
      </c>
      <c r="L51" s="28"/>
    </row>
    <row r="52" spans="1:12" x14ac:dyDescent="0.25">
      <c r="A52" s="1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65">
        <v>0.3</v>
      </c>
      <c r="L52" s="27"/>
    </row>
    <row r="53" spans="1:12" ht="48" x14ac:dyDescent="0.25">
      <c r="A53" s="1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65">
        <v>0.25</v>
      </c>
      <c r="L53" s="28"/>
    </row>
    <row r="54" spans="1:12" ht="48" x14ac:dyDescent="0.25">
      <c r="A54" s="1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65">
        <v>0.25</v>
      </c>
      <c r="L54" s="27"/>
    </row>
    <row r="55" spans="1:12" x14ac:dyDescent="0.25">
      <c r="A55" s="1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65">
        <v>0.25</v>
      </c>
      <c r="L55" s="28"/>
    </row>
    <row r="56" spans="1:12" ht="48" x14ac:dyDescent="0.25">
      <c r="A56" s="1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65">
        <v>0.25</v>
      </c>
      <c r="L56" s="27"/>
    </row>
    <row r="57" spans="1:12" x14ac:dyDescent="0.25">
      <c r="A57" s="1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66">
        <v>0.8</v>
      </c>
      <c r="L57" s="28"/>
    </row>
    <row r="58" spans="1:12" x14ac:dyDescent="0.25">
      <c r="A58" s="1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65">
        <v>0.42</v>
      </c>
      <c r="L58" s="27"/>
    </row>
    <row r="59" spans="1:12" x14ac:dyDescent="0.25">
      <c r="A59" s="1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71" t="s">
        <v>236</v>
      </c>
      <c r="L59" s="27"/>
    </row>
    <row r="60" spans="1:12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65">
        <v>13.6</v>
      </c>
      <c r="L60" s="27"/>
    </row>
    <row r="61" spans="1:12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72">
        <v>3.8</v>
      </c>
      <c r="L61" s="27"/>
    </row>
    <row r="62" spans="1:12" ht="19.5" thickBot="1" x14ac:dyDescent="0.3">
      <c r="B62" s="52"/>
      <c r="C62" s="53"/>
      <c r="D62" s="54"/>
      <c r="E62" s="55"/>
      <c r="F62" s="56"/>
      <c r="G62" s="57"/>
      <c r="H62" s="76" t="s">
        <v>259</v>
      </c>
      <c r="I62" s="77"/>
      <c r="J62" s="77"/>
      <c r="K62" s="69">
        <f>SUM(K10:K61)</f>
        <v>45.052999999999997</v>
      </c>
      <c r="L62" s="57"/>
    </row>
  </sheetData>
  <mergeCells count="3">
    <mergeCell ref="I1:L1"/>
    <mergeCell ref="L3:L8"/>
    <mergeCell ref="H62:J6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3"/>
  <sheetViews>
    <sheetView topLeftCell="A49" workbookViewId="0">
      <selection activeCell="L60" sqref="L60"/>
    </sheetView>
  </sheetViews>
  <sheetFormatPr defaultRowHeight="15" x14ac:dyDescent="0.25"/>
  <cols>
    <col min="2" max="2" width="3" bestFit="1" customWidth="1"/>
    <col min="3" max="3" width="16.140625" customWidth="1"/>
    <col min="4" max="4" width="31.140625" bestFit="1" customWidth="1"/>
    <col min="5" max="5" width="27.1406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18" bestFit="1" customWidth="1"/>
    <col min="11" max="11" width="18" customWidth="1"/>
    <col min="12" max="12" width="19.28515625" bestFit="1" customWidth="1"/>
    <col min="13" max="13" width="28.7109375" customWidth="1"/>
  </cols>
  <sheetData>
    <row r="1" spans="1:13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  <c r="M1" s="73"/>
    </row>
    <row r="2" spans="1:13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3"/>
      <c r="M2" s="29"/>
    </row>
    <row r="3" spans="1:13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4"/>
      <c r="M3" s="74"/>
    </row>
    <row r="4" spans="1:13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46"/>
      <c r="M4" s="75"/>
    </row>
    <row r="5" spans="1:13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46"/>
      <c r="M5" s="75"/>
    </row>
    <row r="6" spans="1:13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46"/>
      <c r="M6" s="75"/>
    </row>
    <row r="7" spans="1:13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"/>
      <c r="M7" s="75"/>
    </row>
    <row r="8" spans="1:13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"/>
      <c r="M8" s="75"/>
    </row>
    <row r="9" spans="1:13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245</v>
      </c>
      <c r="L9" s="26" t="s">
        <v>261</v>
      </c>
      <c r="M9" s="26" t="s">
        <v>238</v>
      </c>
    </row>
    <row r="10" spans="1:13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J10*2</f>
        <v>8</v>
      </c>
      <c r="L10" s="65">
        <v>0.8</v>
      </c>
      <c r="M10" s="27"/>
    </row>
    <row r="11" spans="1:13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7">
        <f t="shared" ref="K11:K61" si="1">J11*2</f>
        <v>8</v>
      </c>
      <c r="L11" s="66">
        <v>0.75</v>
      </c>
      <c r="M11" s="28"/>
    </row>
    <row r="12" spans="1:13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 t="shared" si="1"/>
        <v>2</v>
      </c>
      <c r="L12" s="65">
        <v>0.3</v>
      </c>
      <c r="M12" s="27"/>
    </row>
    <row r="13" spans="1:13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7">
        <f t="shared" si="1"/>
        <v>2</v>
      </c>
      <c r="L13" s="66">
        <v>0.3</v>
      </c>
      <c r="M13" s="28"/>
    </row>
    <row r="14" spans="1:13" s="45" customFormat="1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 t="shared" si="1"/>
        <v>2</v>
      </c>
      <c r="L14" s="65">
        <v>0.3</v>
      </c>
      <c r="M14" s="27"/>
    </row>
    <row r="15" spans="1:13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7">
        <f t="shared" si="1"/>
        <v>4</v>
      </c>
      <c r="L15" s="66">
        <v>2.4500000000000002</v>
      </c>
      <c r="M15" s="28"/>
    </row>
    <row r="16" spans="1:13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 t="shared" si="1"/>
        <v>2</v>
      </c>
      <c r="L16" s="65">
        <v>0.35</v>
      </c>
      <c r="M16" s="27"/>
    </row>
    <row r="17" spans="1:13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7">
        <f t="shared" si="1"/>
        <v>2</v>
      </c>
      <c r="L17" s="66">
        <v>0.35</v>
      </c>
      <c r="M17" s="28"/>
    </row>
    <row r="18" spans="1:13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 t="shared" si="1"/>
        <v>2</v>
      </c>
      <c r="L18" s="65">
        <v>0.35</v>
      </c>
      <c r="M18" s="27"/>
    </row>
    <row r="19" spans="1:13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7">
        <f t="shared" si="1"/>
        <v>4</v>
      </c>
      <c r="L19" s="66">
        <v>0.65</v>
      </c>
      <c r="M19" s="28"/>
    </row>
    <row r="20" spans="1:13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 t="shared" si="1"/>
        <v>2</v>
      </c>
      <c r="L20" s="65">
        <v>0.25</v>
      </c>
      <c r="M20" s="27"/>
    </row>
    <row r="21" spans="1:13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7">
        <f t="shared" si="1"/>
        <v>2</v>
      </c>
      <c r="L21" s="66">
        <v>0.3</v>
      </c>
      <c r="M21" s="28"/>
    </row>
    <row r="22" spans="1:13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 t="shared" si="1"/>
        <v>2</v>
      </c>
      <c r="L22" s="65">
        <v>0.3</v>
      </c>
      <c r="M22" s="27"/>
    </row>
    <row r="23" spans="1:13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7">
        <f t="shared" si="1"/>
        <v>2</v>
      </c>
      <c r="L23" s="66">
        <v>0.4</v>
      </c>
      <c r="M23" s="28"/>
    </row>
    <row r="24" spans="1:13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 t="shared" si="1"/>
        <v>2</v>
      </c>
      <c r="L24" s="65">
        <v>0.48</v>
      </c>
      <c r="M24" s="27"/>
    </row>
    <row r="25" spans="1:13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7">
        <f t="shared" si="1"/>
        <v>2</v>
      </c>
      <c r="L25" s="66">
        <v>0.52</v>
      </c>
      <c r="M25" s="28"/>
    </row>
    <row r="26" spans="1:13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 t="shared" si="1"/>
        <v>2</v>
      </c>
      <c r="L26" s="65">
        <v>2.3199999999999998</v>
      </c>
      <c r="M26" s="27"/>
    </row>
    <row r="27" spans="1:13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7">
        <f t="shared" si="1"/>
        <v>4</v>
      </c>
      <c r="L27" s="65">
        <v>3.8</v>
      </c>
      <c r="M27" s="28"/>
    </row>
    <row r="28" spans="1:13" s="45" customFormat="1" ht="24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 t="shared" si="1"/>
        <v>26</v>
      </c>
      <c r="L28" s="65">
        <v>1.2</v>
      </c>
      <c r="M28" s="27"/>
    </row>
    <row r="29" spans="1:13" s="45" customFormat="1" ht="24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7">
        <f t="shared" si="1"/>
        <v>2</v>
      </c>
      <c r="L29" s="65">
        <v>0.35</v>
      </c>
      <c r="M29" s="28"/>
    </row>
    <row r="30" spans="1:13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 t="shared" si="1"/>
        <v>8</v>
      </c>
      <c r="L30" s="65">
        <v>0.65</v>
      </c>
      <c r="M30" s="27"/>
    </row>
    <row r="31" spans="1:13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7">
        <f t="shared" si="1"/>
        <v>4</v>
      </c>
      <c r="L31" s="65">
        <v>0.42</v>
      </c>
      <c r="M31" s="28"/>
    </row>
    <row r="32" spans="1:13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 t="shared" si="1"/>
        <v>2</v>
      </c>
      <c r="L32" s="65">
        <v>0.4</v>
      </c>
      <c r="M32" s="27"/>
    </row>
    <row r="33" spans="1:13" s="45" customFormat="1" ht="36" x14ac:dyDescent="0.25">
      <c r="A33" s="44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si="1"/>
        <v>2</v>
      </c>
      <c r="L33" s="65">
        <v>3.76</v>
      </c>
      <c r="M33" s="28"/>
    </row>
    <row r="34" spans="1:13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"/>
        <v>4</v>
      </c>
      <c r="L34" s="65">
        <v>0.7</v>
      </c>
      <c r="M34" s="27"/>
    </row>
    <row r="35" spans="1:13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 t="shared" si="1"/>
        <v>2</v>
      </c>
      <c r="L35" s="65">
        <v>0.48</v>
      </c>
      <c r="M35" s="28"/>
    </row>
    <row r="36" spans="1:13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7">
        <f t="shared" si="1"/>
        <v>4</v>
      </c>
      <c r="L36" s="65">
        <v>0.9</v>
      </c>
      <c r="M36" s="27"/>
    </row>
    <row r="37" spans="1:13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 t="shared" si="1"/>
        <v>6</v>
      </c>
      <c r="L37" s="65">
        <v>0.75</v>
      </c>
      <c r="M37" s="28"/>
    </row>
    <row r="38" spans="1:13" s="45" customFormat="1" ht="24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7">
        <f t="shared" si="1"/>
        <v>4</v>
      </c>
      <c r="L38" s="65">
        <v>0.56000000000000005</v>
      </c>
      <c r="M38" s="27"/>
    </row>
    <row r="39" spans="1:13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 t="shared" si="1"/>
        <v>6</v>
      </c>
      <c r="L39" s="65">
        <v>0.67</v>
      </c>
      <c r="M39" s="28"/>
    </row>
    <row r="40" spans="1:13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7">
        <f t="shared" si="1"/>
        <v>4</v>
      </c>
      <c r="L40" s="65">
        <v>0.38</v>
      </c>
      <c r="M40" s="27"/>
    </row>
    <row r="41" spans="1:13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 t="shared" si="1"/>
        <v>6</v>
      </c>
      <c r="L41" s="65">
        <v>0.78</v>
      </c>
      <c r="M41" s="28"/>
    </row>
    <row r="42" spans="1:13" s="45" customFormat="1" x14ac:dyDescent="0.25">
      <c r="A42" s="44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7">
        <f t="shared" si="1"/>
        <v>6</v>
      </c>
      <c r="L42" s="65">
        <v>0.69</v>
      </c>
      <c r="M42" s="27"/>
    </row>
    <row r="43" spans="1:13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 t="shared" si="1"/>
        <v>4</v>
      </c>
      <c r="L43" s="65">
        <v>0.6</v>
      </c>
      <c r="M43" s="28"/>
    </row>
    <row r="44" spans="1:13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7">
        <f t="shared" si="1"/>
        <v>6</v>
      </c>
      <c r="L44" s="65">
        <v>0.7</v>
      </c>
      <c r="M44" s="27"/>
    </row>
    <row r="45" spans="1:13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 t="shared" si="1"/>
        <v>4</v>
      </c>
      <c r="L45" s="65">
        <v>0.45</v>
      </c>
      <c r="M45" s="28"/>
    </row>
    <row r="46" spans="1:13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7">
        <f t="shared" si="1"/>
        <v>6</v>
      </c>
      <c r="L46" s="65">
        <v>0.5</v>
      </c>
      <c r="M46" s="27"/>
    </row>
    <row r="47" spans="1:13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 t="shared" si="1"/>
        <v>4</v>
      </c>
      <c r="L47" s="65">
        <v>0.47</v>
      </c>
      <c r="M47" s="28"/>
    </row>
    <row r="48" spans="1:13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7">
        <f t="shared" si="1"/>
        <v>4</v>
      </c>
      <c r="L48" s="65">
        <v>0.6</v>
      </c>
      <c r="M48" s="27"/>
    </row>
    <row r="49" spans="1:17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 t="shared" si="1"/>
        <v>6</v>
      </c>
      <c r="L49" s="65">
        <v>0.8</v>
      </c>
      <c r="M49" s="28"/>
    </row>
    <row r="50" spans="1:17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7">
        <f t="shared" si="1"/>
        <v>2</v>
      </c>
      <c r="L50" s="65">
        <v>0.45</v>
      </c>
      <c r="M50" s="27"/>
    </row>
    <row r="51" spans="1:17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 t="shared" si="1"/>
        <v>2</v>
      </c>
      <c r="L51" s="65">
        <v>0.37</v>
      </c>
      <c r="M51" s="28"/>
    </row>
    <row r="52" spans="1:17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7">
        <f t="shared" si="1"/>
        <v>2</v>
      </c>
      <c r="L52" s="65">
        <v>0.4</v>
      </c>
      <c r="M52" s="27"/>
    </row>
    <row r="53" spans="1:17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 t="shared" si="1"/>
        <v>2</v>
      </c>
      <c r="L53" s="65">
        <v>0.33</v>
      </c>
      <c r="M53" s="28"/>
    </row>
    <row r="54" spans="1:17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7">
        <f t="shared" si="1"/>
        <v>2</v>
      </c>
      <c r="L54" s="65">
        <v>0.3</v>
      </c>
      <c r="M54" s="27"/>
    </row>
    <row r="55" spans="1:17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 t="shared" si="1"/>
        <v>2</v>
      </c>
      <c r="L55" s="65">
        <v>0.25</v>
      </c>
      <c r="M55" s="28"/>
    </row>
    <row r="56" spans="1:17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7">
        <f t="shared" si="1"/>
        <v>2</v>
      </c>
      <c r="L56" s="65">
        <v>0.44</v>
      </c>
      <c r="M56" s="27"/>
    </row>
    <row r="57" spans="1:17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7">
        <f t="shared" si="1"/>
        <v>2</v>
      </c>
      <c r="L57" s="65">
        <v>0.13</v>
      </c>
      <c r="M57" s="28"/>
    </row>
    <row r="58" spans="1:17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 t="shared" si="1"/>
        <v>4</v>
      </c>
      <c r="L58" s="65">
        <v>0.45</v>
      </c>
      <c r="M58" s="27"/>
    </row>
    <row r="59" spans="1:17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27">
        <f t="shared" si="1"/>
        <v>4</v>
      </c>
      <c r="L59" s="65" t="s">
        <v>236</v>
      </c>
      <c r="M59" s="28"/>
    </row>
    <row r="60" spans="1:17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 t="shared" si="1"/>
        <v>18</v>
      </c>
      <c r="L60" s="65">
        <v>15.7</v>
      </c>
      <c r="M60" s="28"/>
      <c r="Q60" s="45"/>
    </row>
    <row r="61" spans="1:17" ht="24.75" thickBot="1" x14ac:dyDescent="0.3">
      <c r="A61" s="1"/>
      <c r="B61" s="41">
        <f t="shared" si="0"/>
        <v>52</v>
      </c>
      <c r="C61" s="40" t="s">
        <v>237</v>
      </c>
      <c r="D61" s="28" t="s">
        <v>62</v>
      </c>
      <c r="E61" s="28" t="s">
        <v>113</v>
      </c>
      <c r="F61" s="28" t="s">
        <v>125</v>
      </c>
      <c r="G61" s="28" t="s">
        <v>170</v>
      </c>
      <c r="H61" s="28" t="s">
        <v>189</v>
      </c>
      <c r="I61" s="28" t="s">
        <v>236</v>
      </c>
      <c r="J61" s="28">
        <v>3</v>
      </c>
      <c r="K61" s="27">
        <f t="shared" si="1"/>
        <v>6</v>
      </c>
      <c r="L61" s="65">
        <v>5.4</v>
      </c>
      <c r="M61" s="28"/>
      <c r="Q61" s="45"/>
    </row>
    <row r="62" spans="1:17" ht="19.5" thickBot="1" x14ac:dyDescent="0.3">
      <c r="B62" s="58"/>
      <c r="C62" s="59"/>
      <c r="D62" s="60"/>
      <c r="E62" s="61"/>
      <c r="F62" s="62"/>
      <c r="G62" s="63"/>
      <c r="H62" s="62"/>
      <c r="I62" s="76" t="s">
        <v>259</v>
      </c>
      <c r="J62" s="77"/>
      <c r="K62" s="77"/>
      <c r="L62" s="69">
        <f>SUM(L10:L61)</f>
        <v>55.999999999999993</v>
      </c>
      <c r="M62" s="63"/>
      <c r="Q62" s="45"/>
    </row>
    <row r="63" spans="1:17" ht="19.5" thickBot="1" x14ac:dyDescent="0.3">
      <c r="I63" s="76" t="s">
        <v>260</v>
      </c>
      <c r="J63" s="77"/>
      <c r="K63" s="77"/>
      <c r="L63" s="70">
        <f>L62/2</f>
        <v>27.999999999999996</v>
      </c>
    </row>
  </sheetData>
  <mergeCells count="4">
    <mergeCell ref="I1:M1"/>
    <mergeCell ref="M3:M8"/>
    <mergeCell ref="I62:K62"/>
    <mergeCell ref="I63:K6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3"/>
  <sheetViews>
    <sheetView tabSelected="1" topLeftCell="A23" workbookViewId="0">
      <selection activeCell="E73" sqref="E73"/>
    </sheetView>
  </sheetViews>
  <sheetFormatPr defaultRowHeight="15" x14ac:dyDescent="0.25"/>
  <cols>
    <col min="2" max="2" width="3" bestFit="1" customWidth="1"/>
    <col min="3" max="3" width="16.140625" customWidth="1"/>
    <col min="4" max="4" width="17.5703125" customWidth="1"/>
    <col min="5" max="5" width="25.140625" customWidth="1"/>
    <col min="6" max="6" width="12.7109375" customWidth="1"/>
    <col min="7" max="7" width="27.140625" customWidth="1"/>
    <col min="8" max="8" width="17" customWidth="1"/>
    <col min="9" max="9" width="6.140625" bestFit="1" customWidth="1"/>
    <col min="10" max="10" width="18" bestFit="1" customWidth="1"/>
    <col min="11" max="11" width="18.28515625" bestFit="1" customWidth="1"/>
    <col min="12" max="12" width="18.28515625" customWidth="1"/>
    <col min="13" max="13" width="29.140625" customWidth="1"/>
  </cols>
  <sheetData>
    <row r="1" spans="1:13" ht="15.75" thickBot="1" x14ac:dyDescent="0.3">
      <c r="A1" s="1"/>
      <c r="B1" s="17"/>
      <c r="C1" s="17"/>
      <c r="D1" s="2"/>
      <c r="E1" s="2"/>
      <c r="F1" s="2"/>
      <c r="G1" s="2"/>
      <c r="H1" s="2"/>
      <c r="I1" s="73"/>
      <c r="J1" s="73"/>
      <c r="K1" s="73"/>
      <c r="L1" s="73"/>
      <c r="M1" s="73"/>
    </row>
    <row r="2" spans="1:13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3"/>
      <c r="M2" s="29"/>
    </row>
    <row r="3" spans="1:13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4"/>
      <c r="M3" s="74"/>
    </row>
    <row r="4" spans="1:13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46"/>
      <c r="M4" s="75"/>
    </row>
    <row r="5" spans="1:13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46"/>
      <c r="M5" s="75"/>
    </row>
    <row r="6" spans="1:13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46"/>
      <c r="M6" s="75"/>
    </row>
    <row r="7" spans="1:13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7"/>
      <c r="M7" s="75"/>
    </row>
    <row r="8" spans="1:13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7"/>
      <c r="M8" s="75"/>
    </row>
    <row r="9" spans="1:13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246</v>
      </c>
      <c r="L9" s="26" t="s">
        <v>258</v>
      </c>
      <c r="M9" s="26" t="s">
        <v>238</v>
      </c>
    </row>
    <row r="10" spans="1:13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J10*5</f>
        <v>20</v>
      </c>
      <c r="L10" s="65">
        <v>0.88</v>
      </c>
      <c r="M10" s="27"/>
    </row>
    <row r="11" spans="1:13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8">
        <f t="shared" ref="K11" si="1">J11*5</f>
        <v>20</v>
      </c>
      <c r="L11" s="66">
        <v>0.78</v>
      </c>
      <c r="M11" s="28"/>
    </row>
    <row r="12" spans="1:13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>J12*5</f>
        <v>5</v>
      </c>
      <c r="L12" s="65">
        <v>0.65</v>
      </c>
      <c r="M12" s="27"/>
    </row>
    <row r="13" spans="1:13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8">
        <f t="shared" ref="K13" si="2">J13*5</f>
        <v>5</v>
      </c>
      <c r="L13" s="66">
        <v>0.7</v>
      </c>
      <c r="M13" s="28"/>
    </row>
    <row r="14" spans="1:13" s="45" customFormat="1" ht="24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>J14*5</f>
        <v>5</v>
      </c>
      <c r="L14" s="65">
        <v>0.69</v>
      </c>
      <c r="M14" s="27"/>
    </row>
    <row r="15" spans="1:13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8">
        <f t="shared" ref="K15" si="3">J15*5</f>
        <v>10</v>
      </c>
      <c r="L15" s="66">
        <v>4.7</v>
      </c>
      <c r="M15" s="28"/>
    </row>
    <row r="16" spans="1:13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>J16*5</f>
        <v>5</v>
      </c>
      <c r="L16" s="65">
        <v>0.7</v>
      </c>
      <c r="M16" s="27"/>
    </row>
    <row r="17" spans="1:13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8">
        <f t="shared" ref="K17" si="4">J17*5</f>
        <v>5</v>
      </c>
      <c r="L17" s="66">
        <v>0.56000000000000005</v>
      </c>
      <c r="M17" s="28"/>
    </row>
    <row r="18" spans="1:13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>J18*5</f>
        <v>5</v>
      </c>
      <c r="L18" s="65">
        <v>0.77</v>
      </c>
      <c r="M18" s="27"/>
    </row>
    <row r="19" spans="1:13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8">
        <f t="shared" ref="K19" si="5">J19*5</f>
        <v>10</v>
      </c>
      <c r="L19" s="66">
        <v>0.66</v>
      </c>
      <c r="M19" s="28"/>
    </row>
    <row r="20" spans="1:13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>J20*5</f>
        <v>5</v>
      </c>
      <c r="L20" s="65">
        <v>0.78</v>
      </c>
      <c r="M20" s="27"/>
    </row>
    <row r="21" spans="1:13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8">
        <f t="shared" ref="K21" si="6">J21*5</f>
        <v>5</v>
      </c>
      <c r="L21" s="66">
        <v>0.67500000000000004</v>
      </c>
      <c r="M21" s="28"/>
    </row>
    <row r="22" spans="1:13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>J22*5</f>
        <v>5</v>
      </c>
      <c r="L22" s="65">
        <v>0.7</v>
      </c>
      <c r="M22" s="27"/>
    </row>
    <row r="23" spans="1:13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8">
        <f t="shared" ref="K23" si="7">J23*5</f>
        <v>5</v>
      </c>
      <c r="L23" s="66">
        <v>0.88</v>
      </c>
      <c r="M23" s="28"/>
    </row>
    <row r="24" spans="1:13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>J24*5</f>
        <v>5</v>
      </c>
      <c r="L24" s="65">
        <v>0.8</v>
      </c>
      <c r="M24" s="27"/>
    </row>
    <row r="25" spans="1:13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8">
        <f t="shared" ref="K25" si="8">J25*5</f>
        <v>5</v>
      </c>
      <c r="L25" s="66">
        <v>0.95</v>
      </c>
      <c r="M25" s="28"/>
    </row>
    <row r="26" spans="1:13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>J26*5</f>
        <v>5</v>
      </c>
      <c r="L26" s="65">
        <v>3.85</v>
      </c>
      <c r="M26" s="27"/>
    </row>
    <row r="27" spans="1:13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8">
        <f t="shared" ref="K27" si="9">J27*5</f>
        <v>10</v>
      </c>
      <c r="L27" s="66">
        <v>5.5070000000000006</v>
      </c>
      <c r="M27" s="28"/>
    </row>
    <row r="28" spans="1:13" s="45" customFormat="1" ht="36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>J28*5</f>
        <v>65</v>
      </c>
      <c r="L28" s="65">
        <v>1.2</v>
      </c>
      <c r="M28" s="27"/>
    </row>
    <row r="29" spans="1:13" s="45" customFormat="1" ht="36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8">
        <f t="shared" ref="K29" si="10">J29*5</f>
        <v>5</v>
      </c>
      <c r="L29" s="66">
        <v>0.76</v>
      </c>
      <c r="M29" s="28"/>
    </row>
    <row r="30" spans="1:13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>J30*5</f>
        <v>20</v>
      </c>
      <c r="L30" s="65">
        <v>1</v>
      </c>
      <c r="M30" s="27"/>
    </row>
    <row r="31" spans="1:13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8">
        <f t="shared" ref="K31" si="11">J31*5</f>
        <v>10</v>
      </c>
      <c r="L31" s="66">
        <v>0.65</v>
      </c>
      <c r="M31" s="28"/>
    </row>
    <row r="32" spans="1:13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>J32*5</f>
        <v>5</v>
      </c>
      <c r="L32" s="65">
        <v>0.75</v>
      </c>
      <c r="M32" s="27"/>
    </row>
    <row r="33" spans="1:13" s="45" customFormat="1" ht="24" x14ac:dyDescent="0.25">
      <c r="A33" s="44"/>
      <c r="B33" s="39"/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ref="K33:K34" si="12">J33*5</f>
        <v>5</v>
      </c>
      <c r="L33" s="65">
        <v>4.37</v>
      </c>
      <c r="M33" s="28"/>
    </row>
    <row r="34" spans="1:13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2"/>
        <v>10</v>
      </c>
      <c r="L34" s="65">
        <v>0.75</v>
      </c>
      <c r="M34" s="27"/>
    </row>
    <row r="35" spans="1:13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>J35*5</f>
        <v>5</v>
      </c>
      <c r="L35" s="65">
        <v>0.66</v>
      </c>
      <c r="M35" s="28"/>
    </row>
    <row r="36" spans="1:13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8">
        <f t="shared" ref="K36" si="13">J36*5</f>
        <v>10</v>
      </c>
      <c r="L36" s="65">
        <v>0.78</v>
      </c>
      <c r="M36" s="27"/>
    </row>
    <row r="37" spans="1:13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>J37*5</f>
        <v>15</v>
      </c>
      <c r="L37" s="65">
        <v>0.9</v>
      </c>
      <c r="M37" s="28"/>
    </row>
    <row r="38" spans="1:13" s="45" customFormat="1" ht="36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8">
        <f t="shared" ref="K38" si="14">J38*5</f>
        <v>10</v>
      </c>
      <c r="L38" s="65">
        <v>0.75</v>
      </c>
      <c r="M38" s="27"/>
    </row>
    <row r="39" spans="1:13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>J39*5</f>
        <v>15</v>
      </c>
      <c r="L39" s="65">
        <v>0.85</v>
      </c>
      <c r="M39" s="28"/>
    </row>
    <row r="40" spans="1:13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8">
        <f t="shared" ref="K40" si="15">J40*5</f>
        <v>10</v>
      </c>
      <c r="L40" s="65">
        <v>0.77</v>
      </c>
      <c r="M40" s="27"/>
    </row>
    <row r="41" spans="1:13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>J41*5</f>
        <v>15</v>
      </c>
      <c r="L41" s="65">
        <v>0.98</v>
      </c>
      <c r="M41" s="28"/>
    </row>
    <row r="42" spans="1:13" s="45" customFormat="1" x14ac:dyDescent="0.25">
      <c r="A42" s="44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8">
        <f t="shared" ref="K42" si="16">J42*5</f>
        <v>15</v>
      </c>
      <c r="L42" s="65">
        <v>0.76300000000000001</v>
      </c>
      <c r="M42" s="27"/>
    </row>
    <row r="43" spans="1:13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>J43*5</f>
        <v>10</v>
      </c>
      <c r="L43" s="65">
        <v>0.8</v>
      </c>
      <c r="M43" s="28"/>
    </row>
    <row r="44" spans="1:13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8">
        <f t="shared" ref="K44" si="17">J44*5</f>
        <v>15</v>
      </c>
      <c r="L44" s="65">
        <v>0.9</v>
      </c>
      <c r="M44" s="27"/>
    </row>
    <row r="45" spans="1:13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>J45*5</f>
        <v>10</v>
      </c>
      <c r="L45" s="65">
        <v>0.7</v>
      </c>
      <c r="M45" s="28"/>
    </row>
    <row r="46" spans="1:13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8">
        <f t="shared" ref="K46" si="18">J46*5</f>
        <v>15</v>
      </c>
      <c r="L46" s="65">
        <v>0.81</v>
      </c>
      <c r="M46" s="27"/>
    </row>
    <row r="47" spans="1:13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>J47*5</f>
        <v>10</v>
      </c>
      <c r="L47" s="65">
        <v>0.75</v>
      </c>
      <c r="M47" s="28"/>
    </row>
    <row r="48" spans="1:13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8">
        <f t="shared" ref="K48" si="19">J48*5</f>
        <v>10</v>
      </c>
      <c r="L48" s="65">
        <v>0.88</v>
      </c>
      <c r="M48" s="27"/>
    </row>
    <row r="49" spans="1:18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>J49*5</f>
        <v>15</v>
      </c>
      <c r="L49" s="65">
        <v>0.96</v>
      </c>
      <c r="M49" s="28"/>
    </row>
    <row r="50" spans="1:18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8">
        <f t="shared" ref="K50" si="20">J50*5</f>
        <v>5</v>
      </c>
      <c r="L50" s="65">
        <v>0.48</v>
      </c>
      <c r="M50" s="27"/>
    </row>
    <row r="51" spans="1:18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>J51*5</f>
        <v>5</v>
      </c>
      <c r="L51" s="65">
        <v>0.55000000000000004</v>
      </c>
      <c r="M51" s="28"/>
    </row>
    <row r="52" spans="1:18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8">
        <f t="shared" ref="K52" si="21">J52*5</f>
        <v>5</v>
      </c>
      <c r="L52" s="65">
        <v>0.88</v>
      </c>
      <c r="M52" s="27"/>
    </row>
    <row r="53" spans="1:18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>J53*5</f>
        <v>5</v>
      </c>
      <c r="L53" s="65">
        <v>0.42</v>
      </c>
      <c r="M53" s="28"/>
    </row>
    <row r="54" spans="1:18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8">
        <f t="shared" ref="K54" si="22">J54*5</f>
        <v>5</v>
      </c>
      <c r="L54" s="65">
        <v>0.53</v>
      </c>
      <c r="M54" s="27"/>
      <c r="P54"/>
    </row>
    <row r="55" spans="1:18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>J55*5</f>
        <v>5</v>
      </c>
      <c r="L55" s="65">
        <v>0.68</v>
      </c>
      <c r="M55" s="28"/>
    </row>
    <row r="56" spans="1:18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8">
        <f t="shared" ref="K56:K57" si="23">J56*5</f>
        <v>5</v>
      </c>
      <c r="L56" s="65">
        <v>0.74</v>
      </c>
      <c r="M56" s="27"/>
    </row>
    <row r="57" spans="1:18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8">
        <f t="shared" si="23"/>
        <v>5</v>
      </c>
      <c r="L57" s="66">
        <v>2.36</v>
      </c>
      <c r="M57" s="28"/>
    </row>
    <row r="58" spans="1:18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>J58*5</f>
        <v>10</v>
      </c>
      <c r="L58" s="65">
        <v>0.88</v>
      </c>
      <c r="M58" s="27"/>
    </row>
    <row r="59" spans="1:18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43">
        <f t="shared" ref="K59" si="24">J59*5</f>
        <v>10</v>
      </c>
      <c r="L59" s="67" t="s">
        <v>236</v>
      </c>
      <c r="M59" s="28"/>
    </row>
    <row r="60" spans="1:18" ht="60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>J60*5</f>
        <v>45</v>
      </c>
      <c r="L60" s="65">
        <v>29.5</v>
      </c>
      <c r="M60" s="28"/>
      <c r="R60" s="45"/>
    </row>
    <row r="61" spans="1:18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51">
        <f t="shared" ref="K61" si="25">J61*5</f>
        <v>15</v>
      </c>
      <c r="L61" s="68">
        <v>10.199999999999999</v>
      </c>
      <c r="M61" s="51"/>
      <c r="R61" s="45"/>
    </row>
    <row r="62" spans="1:18" ht="19.5" thickBot="1" x14ac:dyDescent="0.3">
      <c r="B62" s="52"/>
      <c r="C62" s="53"/>
      <c r="D62" s="54"/>
      <c r="E62" s="55"/>
      <c r="F62" s="56"/>
      <c r="G62" s="57"/>
      <c r="H62" s="56"/>
      <c r="I62" s="76" t="s">
        <v>259</v>
      </c>
      <c r="J62" s="77"/>
      <c r="K62" s="77"/>
      <c r="L62" s="69">
        <f>SUM(L10:L61)</f>
        <v>94.185000000000016</v>
      </c>
      <c r="M62" s="64"/>
      <c r="R62" s="45"/>
    </row>
    <row r="63" spans="1:18" ht="19.5" thickBot="1" x14ac:dyDescent="0.3">
      <c r="I63" s="76" t="s">
        <v>260</v>
      </c>
      <c r="J63" s="77"/>
      <c r="K63" s="77"/>
      <c r="L63" s="70">
        <f>L62/5</f>
        <v>18.837000000000003</v>
      </c>
      <c r="R63" s="45"/>
    </row>
  </sheetData>
  <mergeCells count="4">
    <mergeCell ref="I1:M1"/>
    <mergeCell ref="M3:M8"/>
    <mergeCell ref="I62:K62"/>
    <mergeCell ref="I63:K6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2023-03-14T15:30:03Z</dcterms:modified>
</cp:coreProperties>
</file>
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xponenttech-sleepenhancer-hardware\Design Files\Xponent-tech\BOM\"/>
    </mc:Choice>
  </mc:AlternateContent>
  <bookViews>
    <workbookView xWindow="28680" yWindow="-120" windowWidth="29040" windowHeight="15840"/>
  </bookViews>
  <sheets>
    <sheet name="1 Board" sheetId="1" r:id="rId1"/>
    <sheet name="2 Boards" sheetId="2" r:id="rId2"/>
    <sheet name="5 Boards" sheetId="3" r:id="rId3"/>
  </sheets>
  <calcPr calcId="162913"/>
</workbook>
</file>

<file path=xl/calcChain.xml><?xml version="1.0" encoding="utf-8"?>
<calcChain xmlns="http://schemas.openxmlformats.org/spreadsheetml/2006/main">
  <c r="K62" i="1" l="1"/>
  <c r="L62" i="2"/>
  <c r="L63" i="2" s="1"/>
  <c r="L62" i="3"/>
  <c r="L63" i="3" s="1"/>
  <c r="K61" i="3" l="1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<sst xmlns="http://schemas.openxmlformats.org/spreadsheetml/2006/main" count="1156" uniqueCount="263">
  <si>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</si>
  <si>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</si>
  <si>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</si>
  <si>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</si>
  <si>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</si>
  <si>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</si>
  <si>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</si>
  <si>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</si>
  <si>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Header</t>
  </si>
  <si>
    <t>Microphone</t>
  </si>
  <si>
    <t>Resistor</t>
  </si>
  <si>
    <t>Potentiometer</t>
  </si>
  <si>
    <t>Solder Bridge</t>
  </si>
  <si>
    <t>Switch</t>
  </si>
  <si>
    <t>Designator</t>
  </si>
  <si>
    <t>C1, C2, C10, C13</t>
  </si>
  <si>
    <t>C3, C5, C17, C20</t>
  </si>
  <si>
    <t>C4</t>
  </si>
  <si>
    <t>C6</t>
  </si>
  <si>
    <t>C7</t>
  </si>
  <si>
    <t>C8, C18</t>
  </si>
  <si>
    <t>C9</t>
  </si>
  <si>
    <t>C11</t>
  </si>
  <si>
    <t>C12</t>
  </si>
  <si>
    <t>C14, C15</t>
  </si>
  <si>
    <t>C16</t>
  </si>
  <si>
    <t>C19</t>
  </si>
  <si>
    <t>C21</t>
  </si>
  <si>
    <t>C22</t>
  </si>
  <si>
    <t>J1</t>
  </si>
  <si>
    <t>J2</t>
  </si>
  <si>
    <t>MK1</t>
  </si>
  <si>
    <t>R2, R3, R4, R7, R8, R9, R48, R52, R65, R66, R68, R69, R70</t>
  </si>
  <si>
    <t>R6, R42, R43, R58</t>
  </si>
  <si>
    <t>R11, R12</t>
  </si>
  <si>
    <t>R13</t>
  </si>
  <si>
    <t>R15, R16</t>
  </si>
  <si>
    <t>R17</t>
  </si>
  <si>
    <t>R18, R19</t>
  </si>
  <si>
    <t>R20, R21, R49</t>
  </si>
  <si>
    <t>R22, R23</t>
  </si>
  <si>
    <t>R24, R25, R50</t>
  </si>
  <si>
    <t>R26, R27</t>
  </si>
  <si>
    <t>R28, R29, R53</t>
  </si>
  <si>
    <t>R30, R31, R55</t>
  </si>
  <si>
    <t>R32, R33</t>
  </si>
  <si>
    <t>R34, R35, R56</t>
  </si>
  <si>
    <t>R36, R37</t>
  </si>
  <si>
    <t>R38, R39, R57</t>
  </si>
  <si>
    <t>R40, R41</t>
  </si>
  <si>
    <t>R44, R45</t>
  </si>
  <si>
    <t>R46, R47, R59</t>
  </si>
  <si>
    <t>R51</t>
  </si>
  <si>
    <t>R54</t>
  </si>
  <si>
    <t>R60</t>
  </si>
  <si>
    <t>R61</t>
  </si>
  <si>
    <t>R62</t>
  </si>
  <si>
    <t>R63</t>
  </si>
  <si>
    <t>R64</t>
  </si>
  <si>
    <t>R71, R72</t>
  </si>
  <si>
    <t>SB1, SB2</t>
  </si>
  <si>
    <t>SW1, SW2, SW3, SW4, SW5, SW6, SW7, SW8, SW9</t>
  </si>
  <si>
    <t>U1, U2, U3</t>
  </si>
  <si>
    <t>Description</t>
  </si>
  <si>
    <t>CAP CER 0.1UF 50V X7R 0603</t>
  </si>
  <si>
    <t>CAP CER 1UF 50V X7R 0603</t>
  </si>
  <si>
    <t>CAP CER 47PF 100V NPO 0603</t>
  </si>
  <si>
    <t>CAP CER 0.047UF 50V X8R 0603</t>
  </si>
  <si>
    <t>CAP CER 4700PF 50V C0G/NPO 0603</t>
  </si>
  <si>
    <t>CAP ALUM 10uF 25V SMD</t>
  </si>
  <si>
    <t>CAP CER 0.022UF 100V X7R 0603</t>
  </si>
  <si>
    <t>100V 4.2nF X7R ±10% 0402 Multilayer Ceramic Capacitors MLCC - SMD/SMT ROHS</t>
  </si>
  <si>
    <t>CAP CER 1200PF 25V X7R 0402</t>
  </si>
  <si>
    <t>50V 100nF C0G ±1% 1206 Multilayer Ceramic Capacitors MLCC - SMD/SMT ROHS</t>
  </si>
  <si>
    <t>50V 200nF ±10% 0805 Multilayer Ceramic Capacitors MLCC - SMD/SMT ROHS</t>
  </si>
  <si>
    <t>CAP CER 4.7UF 50V X7R 1206</t>
  </si>
  <si>
    <t>CAP CER 33PF 25V C0G/NP0 0402</t>
  </si>
  <si>
    <t>CAP, 2.2µF, 35V, 10%, X5R, 0603</t>
  </si>
  <si>
    <t>KK 254 Breakaway Header, Vertical, 2 Circuits, Tin (Sn) Plating, Mating Pin Length 6.09mm</t>
  </si>
  <si>
    <t>3A Straight Square Pins -40℃~+105℃ 3 2.54mm Black 1x3P Plugin,P=2.54mm Pin Headers ROHS</t>
  </si>
  <si>
    <t>1.5V~3.6V Omnidirectional 120uA -42dB 400Ω 59dB SMD-4P,1.9x2.8mm MEMS Microphones ROHS</t>
  </si>
  <si>
    <t>TRIMMER 100K OHM 0.1W J LEAD TOP</t>
  </si>
  <si>
    <t>RES SMD 10K OHM 0.1% 1/10W 0603</t>
  </si>
  <si>
    <t>±25% 500kΩ SMD Variable Resistors/Potentiometers ROHS</t>
  </si>
  <si>
    <t>RES SMD 1K OHM 0.1% 1/10W 0603</t>
  </si>
  <si>
    <t>RES SMD 3.3K OHM 0.1% 1/10W 0603</t>
  </si>
  <si>
    <t>RES SMD 22K OHM 0.1% 1/10W 0603</t>
  </si>
  <si>
    <t>RES SMD 1.8K OHM 0.1% 1/10W 0603</t>
  </si>
  <si>
    <t>RES SMD 270 OHM 0.1% 1/10W 0603</t>
  </si>
  <si>
    <t>±1% 80kΩ 0603 Chip Resistor - Surface Mount ROHS</t>
  </si>
  <si>
    <t>±0.1% 40kΩ 0805 Chip Resistor - Surface Mount ROHS</t>
  </si>
  <si>
    <t>±25ppm/℃ ±0.1% 27kΩ 0402 Chip Resistor - Surface Mount ROHS</t>
  </si>
  <si>
    <t>100mW ±25ppm/℃ ±0.1% 20kΩ 0603 Chip Resistor - Surface Mount ROHS</t>
  </si>
  <si>
    <t>RES 16K OHM 0.5% 1/10W 0603</t>
  </si>
  <si>
    <t>RES SMD 8.2K OHM 0.1% 1/10W 0603</t>
  </si>
  <si>
    <t>RES 4.02K OHM 1% 1/16W 0402</t>
  </si>
  <si>
    <t>RES 2.7K OHM 1% 1/10W 0603</t>
  </si>
  <si>
    <t>100mW ±25ppm/℃ ±0.1% 2kΩ 0603 Chip Resistor - Surface Mount ROHS</t>
  </si>
  <si>
    <t>RES SMD 1.6K OHM 0.1% 1/16W 0402</t>
  </si>
  <si>
    <t>100mW ±25ppm/℃ ±0.1% 1.3kΩ 0603 Chip Resistor - Surface Mount ROHS</t>
  </si>
  <si>
    <t>RES SMD 1.1K OHM 0.1% 1/10W 0603</t>
  </si>
  <si>
    <t>125mW Thin Film Resistor 150V ±25ppm/℃ ±0.1% -55℃~+155℃ 900Ω 0805 Chip Resistor - Surface Mount ROHS</t>
  </si>
  <si>
    <t>RES SMD 806 OHM 0.1% 1/16W 0402</t>
  </si>
  <si>
    <t>RES SMD 13.3KOHM 0.1% 1/10W 0603</t>
  </si>
  <si>
    <t>125mW Thick Film Resistors 150V ±100ppm/℃ ±1% -55℃~+155℃ 98kΩ 0805 Chip Resistor - Surface Mount ROHS</t>
  </si>
  <si>
    <t>RES SMD 649 OHM 0.1% 1/8W 0805</t>
  </si>
  <si>
    <t>62.5mW Thin Film Resistor 50V ±25ppm/℃ ±0.1% -55℃~+155℃ 549Ω 0402 Chip Resistor - Surface Mount ROHS</t>
  </si>
  <si>
    <t>125mW Thin Film Resistor 150V ±25ppm/℃ ±0.1% -55℃~+155℃ 500Ω 0805 Chip Resistor - Surface Mount ROHS</t>
  </si>
  <si>
    <t>RES SMD 453 OHM 0.1% 1/16W 0402</t>
  </si>
  <si>
    <t>100mW Thin Film Resistor 75V ±25ppm/℃ ±0.1% -55℃~+155℃ 402Ω 0603 Chip Resistor - Surface Mount ROHS</t>
  </si>
  <si>
    <t>RES SMD 47K OHM 0.1% 1/10W 0603</t>
  </si>
  <si>
    <t>Solder Bridge ON</t>
  </si>
  <si>
    <t>Gull Wing SPST 24V 25mA Black -20℃~+70℃ 3000 Flat dial, raised type 2.54mm 5 SMD-10P,6x12.6mm DIP Switches ROHS</t>
  </si>
  <si>
    <t>General Purpose Amplifier 2 Circuit  8-SO</t>
  </si>
  <si>
    <t>Footprint</t>
  </si>
  <si>
    <t>CAP-0603</t>
  </si>
  <si>
    <t>Cap-0603</t>
  </si>
  <si>
    <t>Cap-0402</t>
  </si>
  <si>
    <t>Cap-1206</t>
  </si>
  <si>
    <t>Cap-0805</t>
  </si>
  <si>
    <t>HDR1X2_</t>
  </si>
  <si>
    <t>HDR1X3_</t>
  </si>
  <si>
    <t>Res-0603</t>
  </si>
  <si>
    <t>RES-0805</t>
  </si>
  <si>
    <t>Res-0402</t>
  </si>
  <si>
    <t>SOIC-8</t>
  </si>
  <si>
    <t>Manufacturer Part Number</t>
  </si>
  <si>
    <t>CL10B104KB8NNNL</t>
  </si>
  <si>
    <t>UMK107AB7105KA-T</t>
  </si>
  <si>
    <t>AC0603JRNPO0BN470</t>
  </si>
  <si>
    <t>CC0603JRNPO9BN472</t>
  </si>
  <si>
    <t>RVT1E100M0405</t>
  </si>
  <si>
    <t>GCM155R72A472KA01D</t>
  </si>
  <si>
    <t>GRM31C5C1H104FA01L</t>
  </si>
  <si>
    <t>NL0805B204K500CPBN</t>
  </si>
  <si>
    <t>GRM188R6YA225KA12D</t>
  </si>
  <si>
    <t>22-28-4020</t>
  </si>
  <si>
    <t>C49257</t>
  </si>
  <si>
    <t>ZTS6117</t>
  </si>
  <si>
    <t>TC33X-2-104E</t>
  </si>
  <si>
    <t>RT0603BRD0710KL</t>
  </si>
  <si>
    <t>VG039NCHXTB504</t>
  </si>
  <si>
    <t>RT0603BRD071KL</t>
  </si>
  <si>
    <t>RT0603BRD073K3L</t>
  </si>
  <si>
    <t>RT0603BRD0722KL</t>
  </si>
  <si>
    <t>RT0603BRD071K8L</t>
  </si>
  <si>
    <t>RT0603BRE07270RL</t>
  </si>
  <si>
    <t>ARG03FTC8002N</t>
  </si>
  <si>
    <t>AR05BTC4002</t>
  </si>
  <si>
    <t>ARG02BTC2702</t>
  </si>
  <si>
    <t>AR03BTCX2002</t>
  </si>
  <si>
    <t>RC0603DR-0716KL</t>
  </si>
  <si>
    <t>RT0603BRD078K2L</t>
  </si>
  <si>
    <t>RC0402FR-074K02L</t>
  </si>
  <si>
    <t>RC0603FR-072K7L</t>
  </si>
  <si>
    <t>AR03BTCX2001</t>
  </si>
  <si>
    <t>RT0402BRD071K6L</t>
  </si>
  <si>
    <t>AR03BTCX1301</t>
  </si>
  <si>
    <t>RT0603BRD071K1L</t>
  </si>
  <si>
    <t>ARG05BTC9000N</t>
  </si>
  <si>
    <t>RT0402BRD07806RL</t>
  </si>
  <si>
    <t>RT0603BRD0713K3L</t>
  </si>
  <si>
    <t>FRC0805F9802TS</t>
  </si>
  <si>
    <t>RT0805BRD07649RL</t>
  </si>
  <si>
    <t>ARG02BTC5490</t>
  </si>
  <si>
    <t>ARG05BTC5000</t>
  </si>
  <si>
    <t>RT0402BRD07453RL</t>
  </si>
  <si>
    <t>ARG03BTC4020</t>
  </si>
  <si>
    <t>RT0603BRD0747KL</t>
  </si>
  <si>
    <t>DSIC05LS-P</t>
  </si>
  <si>
    <t>LM2904DT</t>
  </si>
  <si>
    <t>Manufacturer</t>
  </si>
  <si>
    <t>Samsung</t>
  </si>
  <si>
    <t>Taiyo Yuden</t>
  </si>
  <si>
    <t>Yageo</t>
  </si>
  <si>
    <t>TDK</t>
  </si>
  <si>
    <t>ROQANG</t>
  </si>
  <si>
    <t>Murata Electronics</t>
  </si>
  <si>
    <t>KEMET</t>
  </si>
  <si>
    <t>HUI JU</t>
  </si>
  <si>
    <t>Murata</t>
  </si>
  <si>
    <t>Molex</t>
  </si>
  <si>
    <t>BOOMELE</t>
  </si>
  <si>
    <t>Zilltek</t>
  </si>
  <si>
    <t>Bourns</t>
  </si>
  <si>
    <t>HDK</t>
  </si>
  <si>
    <t>Viking Tech</t>
  </si>
  <si>
    <t>FOJAN</t>
  </si>
  <si>
    <t>XKB Connectivity</t>
  </si>
  <si>
    <t>STMicroelectronics</t>
  </si>
  <si>
    <t>0.1uF</t>
  </si>
  <si>
    <t>1uF</t>
  </si>
  <si>
    <t>47pF</t>
  </si>
  <si>
    <t>47nF</t>
  </si>
  <si>
    <t>4.7nF</t>
  </si>
  <si>
    <t>10uF</t>
  </si>
  <si>
    <t>22nF</t>
  </si>
  <si>
    <t>4.2nF</t>
  </si>
  <si>
    <t>1.2nF</t>
  </si>
  <si>
    <t>0.2uF</t>
  </si>
  <si>
    <t>4.7uF</t>
  </si>
  <si>
    <t>33pF</t>
  </si>
  <si>
    <t>2.2uF</t>
  </si>
  <si>
    <t>100k</t>
  </si>
  <si>
    <t>10K</t>
  </si>
  <si>
    <t>500k</t>
  </si>
  <si>
    <t>1K</t>
  </si>
  <si>
    <t>3.3k</t>
  </si>
  <si>
    <t>22K</t>
  </si>
  <si>
    <t>1.8K</t>
  </si>
  <si>
    <t>270R</t>
  </si>
  <si>
    <t>80K</t>
  </si>
  <si>
    <t>40K</t>
  </si>
  <si>
    <t>27K</t>
  </si>
  <si>
    <t>20K</t>
  </si>
  <si>
    <t>16K</t>
  </si>
  <si>
    <t>8.2K</t>
  </si>
  <si>
    <t>4.02K</t>
  </si>
  <si>
    <t>2.7K</t>
  </si>
  <si>
    <t>2K</t>
  </si>
  <si>
    <t>1.6K</t>
  </si>
  <si>
    <t>1.3K</t>
  </si>
  <si>
    <t>1.1K</t>
  </si>
  <si>
    <t>900R</t>
  </si>
  <si>
    <t>806R</t>
  </si>
  <si>
    <t>13.3K</t>
  </si>
  <si>
    <t>98K</t>
  </si>
  <si>
    <t>649R</t>
  </si>
  <si>
    <t>549R</t>
  </si>
  <si>
    <t>500R</t>
  </si>
  <si>
    <t>453R</t>
  </si>
  <si>
    <t>402R</t>
  </si>
  <si>
    <t>47K</t>
  </si>
  <si>
    <t>Bill of Materials for Project [Xponent-tech]</t>
  </si>
  <si>
    <t>Xponent-tech</t>
  </si>
  <si>
    <t>Custom</t>
  </si>
  <si>
    <t>-</t>
  </si>
  <si>
    <t>IC</t>
  </si>
  <si>
    <t xml:space="preserve"> Remarks</t>
  </si>
  <si>
    <t>Value</t>
  </si>
  <si>
    <t>FN18X473K500PBG</t>
  </si>
  <si>
    <t>CC0603KRX7R0BB223</t>
  </si>
  <si>
    <t>0402B122K250CT</t>
  </si>
  <si>
    <t>GRM31CR61E476ME44L</t>
  </si>
  <si>
    <t>0402N330K250CT</t>
  </si>
  <si>
    <t>Quantity (2 Boards)</t>
  </si>
  <si>
    <t>Quantity (5 Boards)</t>
  </si>
  <si>
    <t>R1, R10</t>
  </si>
  <si>
    <t>Trimmer, Cermet, Rest 100 Kilohms, PCB, 25 Turns, Pwr-Rtg 0.5W, 3296 Series</t>
  </si>
  <si>
    <t>3296W-1-104</t>
  </si>
  <si>
    <t>BOCHEN(Chengdu Guosheng Tech)</t>
  </si>
  <si>
    <t>R5</t>
  </si>
  <si>
    <t>R14</t>
  </si>
  <si>
    <t>Res Cermet Trimmer 500K Ohm 10% 1/2W 25(Elec)Turn</t>
  </si>
  <si>
    <t>3296W-1-504</t>
  </si>
  <si>
    <t>R67</t>
  </si>
  <si>
    <t>Quantity</t>
  </si>
  <si>
    <t>Quantity Per Board</t>
  </si>
  <si>
    <t>Total Cost(5 Boards)</t>
  </si>
  <si>
    <t xml:space="preserve">Total Component Cost </t>
  </si>
  <si>
    <t>Single Board Cost</t>
  </si>
  <si>
    <t>Total Cost (2 Boards)</t>
  </si>
  <si>
    <t>Total Cost (1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</si>
</sst>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7" fillId="3" borderId="0" xfId="0" applyFont="1" applyFill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0" xfId="0" applyFont="1" applyFill="1"/>
    <xf numFmtId="0" fontId="13" fillId="3" borderId="9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0" fillId="3" borderId="0" xfId="0" applyFont="1" applyFill="1"/>
    <xf numFmtId="0" fontId="12" fillId="3" borderId="5" xfId="0" applyFont="1" applyFill="1" applyBorder="1"/>
    <xf numFmtId="0" fontId="12" fillId="3" borderId="4" xfId="0" applyFont="1" applyFill="1" applyBorder="1"/>
    <xf numFmtId="0" fontId="10" fillId="3" borderId="4" xfId="0" applyFont="1" applyFill="1" applyBorder="1"/>
    <xf numFmtId="0" fontId="12" fillId="3" borderId="4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4" fillId="3" borderId="10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0" fillId="4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8" fillId="3" borderId="0" xfId="0" applyFont="1" applyFill="1" applyBorder="1"/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0" fillId="3" borderId="6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11" xfId="0" applyFill="1" applyBorder="1"/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65" fontId="17" fillId="2" borderId="13" xfId="0" applyNumberFormat="1" applyFont="1" applyFill="1" applyBorder="1" applyAlignment="1">
      <alignment horizontal="center" vertical="center" wrapText="1"/>
    </xf>
    <xf numFmtId="165" fontId="17" fillId="2" borderId="14" xfId="0" applyNumberFormat="1" applyFont="1" applyFill="1" applyBorder="1" applyAlignment="1">
      <alignment horizontal="center" vertical="center" wrapText="1"/>
    </xf>
    <xf numFmtId="165" fontId="19" fillId="2" borderId="14" xfId="0" applyNumberFormat="1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0" fontId="21" fillId="3" borderId="16" xfId="0" applyFont="1" applyFill="1" applyBorder="1" applyAlignment="1" applyProtection="1">
      <alignment horizontal="center" vertical="top"/>
      <protection locked="0"/>
    </xf>
    <xf numFmtId="0" fontId="21" fillId="3" borderId="10" xfId="0" applyFont="1" applyFill="1" applyBorder="1" applyAlignment="1" applyProtection="1">
      <alignment horizontal="center" vertical="top"/>
      <protection locked="0"/>
    </xf>
    <xf numFmtId="166" fontId="14" fillId="3" borderId="12" xfId="0" quotePrefix="1" applyNumberFormat="1" applyFont="1" applyFill="1" applyBorder="1" applyAlignment="1">
      <alignment horizontal="center" vertical="center" wrapText="1"/>
    </xf>
    <xf numFmtId="166" fontId="14" fillId="3" borderId="17" xfId="0" applyNumberFormat="1" applyFont="1" applyFill="1" applyBorder="1" applyAlignment="1">
      <alignment horizontal="center" vertical="center"/>
    </xf>
    <xf numFmtId="165" fontId="19" fillId="2" borderId="13" xfId="0" applyNumberFormat="1" applyFont="1" applyFill="1" applyBorder="1" applyAlignment="1">
      <alignment horizontal="center" vertical="center" wrapText="1"/>
    </xf>
    <xf numFmtId="165" fontId="17" fillId="2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82925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5390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2"/>
  <sheetViews>
    <sheetView tabSelected="1" topLeftCell="B4" workbookViewId="0">
      <selection activeCell="G76" sqref="G76"/>
    </sheetView>
  </sheetViews>
  <sheetFormatPr defaultRowHeight="15" x14ac:dyDescent="0.25"/>
  <cols>
    <col min="2" max="2" width="3.140625" style="22" customWidth="1"/>
    <col min="3" max="3" width="18.7109375" style="22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15.7109375" bestFit="1" customWidth="1"/>
    <col min="9" max="9" width="6.140625" bestFit="1" customWidth="1"/>
    <col min="10" max="10" width="18" bestFit="1" customWidth="1"/>
    <col min="11" max="11" width="19.28515625" bestFit="1" customWidth="1"/>
    <col min="12" max="12" width="29.42578125" customWidth="1"/>
  </cols>
  <sheetData>
    <row r="1" spans="1:12" ht="15.75" thickBot="1" x14ac:dyDescent="0.3">
      <c r="A1" s="1"/>
      <c r="B1" s="17"/>
      <c r="C1" s="17"/>
      <c r="D1" s="2"/>
      <c r="E1" s="2"/>
      <c r="F1" s="2"/>
      <c r="G1" s="2"/>
      <c r="H1" s="2"/>
      <c r="I1" s="65"/>
      <c r="J1" s="65"/>
      <c r="K1" s="65"/>
      <c r="L1" s="65"/>
    </row>
    <row r="2" spans="1:12" ht="32.25" thickBot="1" x14ac:dyDescent="0.3">
      <c r="A2" s="1"/>
      <c r="B2" s="18"/>
      <c r="C2" s="30"/>
      <c r="D2" s="8" t="s">
        <v>0</v>
      </c>
      <c r="E2" s="8"/>
      <c r="F2" s="35" t="s">
        <v>233</v>
      </c>
      <c r="G2" s="9"/>
      <c r="H2" s="9"/>
      <c r="I2" s="3"/>
      <c r="J2" s="3"/>
      <c r="K2" s="3"/>
      <c r="L2" s="29"/>
    </row>
    <row r="3" spans="1:12" x14ac:dyDescent="0.25">
      <c r="A3" s="1"/>
      <c r="B3" s="19"/>
      <c r="C3" s="31"/>
      <c r="D3" s="10" t="s">
        <v>1</v>
      </c>
      <c r="E3" s="10"/>
      <c r="F3" s="36" t="s">
        <v>234</v>
      </c>
      <c r="G3" s="10"/>
      <c r="H3" s="10"/>
      <c r="I3" s="4"/>
      <c r="J3" s="4"/>
      <c r="K3" s="4"/>
      <c r="L3" s="66"/>
    </row>
    <row r="4" spans="1:12" x14ac:dyDescent="0.25">
      <c r="A4" s="1"/>
      <c r="B4" s="19"/>
      <c r="C4" s="31"/>
      <c r="D4" s="10" t="s">
        <v>2</v>
      </c>
      <c r="E4" s="10"/>
      <c r="F4" s="37" t="s">
        <v>234</v>
      </c>
      <c r="G4" s="11"/>
      <c r="H4" s="11"/>
      <c r="I4" s="6"/>
      <c r="J4" s="6"/>
      <c r="K4" s="46"/>
      <c r="L4" s="67"/>
    </row>
    <row r="5" spans="1:12" x14ac:dyDescent="0.25">
      <c r="A5" s="1"/>
      <c r="B5" s="19"/>
      <c r="C5" s="31"/>
      <c r="D5" s="10" t="s">
        <v>3</v>
      </c>
      <c r="E5" s="10"/>
      <c r="F5" s="38" t="s">
        <v>5</v>
      </c>
      <c r="G5" s="12"/>
      <c r="H5" s="12"/>
      <c r="I5" s="5"/>
      <c r="J5" s="5"/>
      <c r="K5" s="46"/>
      <c r="L5" s="67"/>
    </row>
    <row r="6" spans="1:12" x14ac:dyDescent="0.25">
      <c r="A6" s="1"/>
      <c r="B6" s="20"/>
      <c r="C6" s="32"/>
      <c r="D6" s="13"/>
      <c r="E6" s="13"/>
      <c r="F6" s="14"/>
      <c r="G6" s="12"/>
      <c r="H6" s="12"/>
      <c r="I6" s="5"/>
      <c r="J6" s="5"/>
      <c r="K6" s="46"/>
      <c r="L6" s="67"/>
    </row>
    <row r="7" spans="1:12" x14ac:dyDescent="0.25">
      <c r="A7" s="1"/>
      <c r="B7" s="21"/>
      <c r="C7" s="33"/>
      <c r="D7" s="15"/>
      <c r="E7" s="15"/>
      <c r="F7" s="16"/>
      <c r="G7" s="15"/>
      <c r="H7" s="15"/>
      <c r="I7" s="7"/>
      <c r="J7" s="7"/>
      <c r="K7" s="7"/>
      <c r="L7" s="67"/>
    </row>
    <row r="8" spans="1:12" ht="15.75" thickBot="1" x14ac:dyDescent="0.3">
      <c r="A8" s="1"/>
      <c r="B8" s="23"/>
      <c r="C8" s="34"/>
      <c r="D8" s="24"/>
      <c r="E8" s="24"/>
      <c r="F8" s="25"/>
      <c r="G8" s="15"/>
      <c r="H8" s="15"/>
      <c r="I8" s="7"/>
      <c r="J8" s="7"/>
      <c r="K8" s="7"/>
      <c r="L8" s="67"/>
    </row>
    <row r="9" spans="1:12" ht="15.75" thickBot="1" x14ac:dyDescent="0.3">
      <c r="A9" s="1"/>
      <c r="B9" s="26" t="s">
        <v>4</v>
      </c>
      <c r="C9" s="26" t="s">
        <v>6</v>
      </c>
      <c r="D9" s="26" t="s">
        <v>14</v>
      </c>
      <c r="E9" s="26" t="s">
        <v>63</v>
      </c>
      <c r="F9" s="26" t="s">
        <v>114</v>
      </c>
      <c r="G9" s="26" t="s">
        <v>126</v>
      </c>
      <c r="H9" s="26" t="s">
        <v>171</v>
      </c>
      <c r="I9" s="26" t="s">
        <v>239</v>
      </c>
      <c r="J9" s="26" t="s">
        <v>256</v>
      </c>
      <c r="K9" s="26" t="s">
        <v>262</v>
      </c>
      <c r="L9" s="26" t="s">
        <v>238</v>
      </c>
    </row>
    <row r="10" spans="1:12" x14ac:dyDescent="0.25">
      <c r="A10" s="1"/>
      <c r="B10" s="39">
        <f>ROW(B10) - ROW($B$9)</f>
        <v>1</v>
      </c>
      <c r="C10" s="40" t="s">
        <v>7</v>
      </c>
      <c r="D10" s="47" t="s">
        <v>15</v>
      </c>
      <c r="E10" s="27" t="s">
        <v>64</v>
      </c>
      <c r="F10" s="27" t="s">
        <v>115</v>
      </c>
      <c r="G10" s="27" t="s">
        <v>127</v>
      </c>
      <c r="H10" s="27" t="s">
        <v>172</v>
      </c>
      <c r="I10" s="27" t="s">
        <v>190</v>
      </c>
      <c r="J10" s="27">
        <v>4</v>
      </c>
      <c r="K10" s="68">
        <v>1.2999999999999998</v>
      </c>
      <c r="L10" s="27"/>
    </row>
    <row r="11" spans="1:12" x14ac:dyDescent="0.25">
      <c r="A11" s="1"/>
      <c r="B11" s="41">
        <f t="shared" ref="B11:B61" si="0">ROW(B11) - ROW($B$9)</f>
        <v>2</v>
      </c>
      <c r="C11" s="40" t="s">
        <v>7</v>
      </c>
      <c r="D11" s="48" t="s">
        <v>16</v>
      </c>
      <c r="E11" s="28" t="s">
        <v>65</v>
      </c>
      <c r="F11" s="28" t="s">
        <v>116</v>
      </c>
      <c r="G11" s="28" t="s">
        <v>128</v>
      </c>
      <c r="H11" s="28" t="s">
        <v>173</v>
      </c>
      <c r="I11" s="28" t="s">
        <v>191</v>
      </c>
      <c r="J11" s="28">
        <v>4</v>
      </c>
      <c r="K11" s="69">
        <v>1.278</v>
      </c>
      <c r="L11" s="28"/>
    </row>
    <row r="12" spans="1:12" x14ac:dyDescent="0.25">
      <c r="A12" s="1"/>
      <c r="B12" s="39">
        <f>ROW(B12) - ROW($B$9)</f>
        <v>3</v>
      </c>
      <c r="C12" s="42" t="s">
        <v>7</v>
      </c>
      <c r="D12" s="47" t="s">
        <v>17</v>
      </c>
      <c r="E12" s="27" t="s">
        <v>66</v>
      </c>
      <c r="F12" s="27" t="s">
        <v>116</v>
      </c>
      <c r="G12" s="27" t="s">
        <v>129</v>
      </c>
      <c r="H12" s="27" t="s">
        <v>174</v>
      </c>
      <c r="I12" s="27" t="s">
        <v>192</v>
      </c>
      <c r="J12" s="27">
        <v>1</v>
      </c>
      <c r="K12" s="68">
        <v>1.125</v>
      </c>
      <c r="L12" s="27"/>
    </row>
    <row r="13" spans="1:12" x14ac:dyDescent="0.25">
      <c r="A13" s="1"/>
      <c r="B13" s="41">
        <f t="shared" si="0"/>
        <v>4</v>
      </c>
      <c r="C13" s="40" t="s">
        <v>7</v>
      </c>
      <c r="D13" s="48" t="s">
        <v>18</v>
      </c>
      <c r="E13" s="28" t="s">
        <v>67</v>
      </c>
      <c r="F13" s="28" t="s">
        <v>116</v>
      </c>
      <c r="G13" s="28" t="s">
        <v>240</v>
      </c>
      <c r="H13" s="28" t="s">
        <v>175</v>
      </c>
      <c r="I13" s="28" t="s">
        <v>193</v>
      </c>
      <c r="J13" s="28">
        <v>1</v>
      </c>
      <c r="K13" s="69">
        <v>1</v>
      </c>
      <c r="L13" s="28"/>
    </row>
    <row r="14" spans="1:12" x14ac:dyDescent="0.25">
      <c r="A14" s="1"/>
      <c r="B14" s="39">
        <f>ROW(B14) - ROW($B$9)</f>
        <v>5</v>
      </c>
      <c r="C14" s="42" t="s">
        <v>7</v>
      </c>
      <c r="D14" s="47" t="s">
        <v>19</v>
      </c>
      <c r="E14" s="27" t="s">
        <v>68</v>
      </c>
      <c r="F14" s="27" t="s">
        <v>116</v>
      </c>
      <c r="G14" s="27" t="s">
        <v>130</v>
      </c>
      <c r="H14" s="27" t="s">
        <v>174</v>
      </c>
      <c r="I14" s="27" t="s">
        <v>194</v>
      </c>
      <c r="J14" s="27">
        <v>1</v>
      </c>
      <c r="K14" s="68">
        <v>1.1339999999999999</v>
      </c>
      <c r="L14" s="27"/>
    </row>
    <row r="15" spans="1:12" x14ac:dyDescent="0.25">
      <c r="A15" s="1"/>
      <c r="B15" s="41">
        <f t="shared" si="0"/>
        <v>6</v>
      </c>
      <c r="C15" s="40" t="s">
        <v>7</v>
      </c>
      <c r="D15" s="48" t="s">
        <v>20</v>
      </c>
      <c r="E15" s="28" t="s">
        <v>69</v>
      </c>
      <c r="F15" s="28" t="s">
        <v>235</v>
      </c>
      <c r="G15" s="28" t="s">
        <v>131</v>
      </c>
      <c r="H15" s="28" t="s">
        <v>176</v>
      </c>
      <c r="I15" s="28" t="s">
        <v>195</v>
      </c>
      <c r="J15" s="28">
        <v>2</v>
      </c>
      <c r="K15" s="69">
        <v>1.258</v>
      </c>
      <c r="L15" s="28"/>
    </row>
    <row r="16" spans="1:12" x14ac:dyDescent="0.25">
      <c r="A16" s="1"/>
      <c r="B16" s="39">
        <f>ROW(B16) - ROW($B$9)</f>
        <v>7</v>
      </c>
      <c r="C16" s="40" t="s">
        <v>7</v>
      </c>
      <c r="D16" s="47" t="s">
        <v>21</v>
      </c>
      <c r="E16" s="27" t="s">
        <v>70</v>
      </c>
      <c r="F16" s="27" t="s">
        <v>116</v>
      </c>
      <c r="G16" s="27" t="s">
        <v>241</v>
      </c>
      <c r="H16" s="27" t="s">
        <v>175</v>
      </c>
      <c r="I16" s="27" t="s">
        <v>196</v>
      </c>
      <c r="J16" s="27">
        <v>1</v>
      </c>
      <c r="K16" s="68">
        <v>1.1499999999999999</v>
      </c>
      <c r="L16" s="27"/>
    </row>
    <row r="17" spans="1:12" ht="36" x14ac:dyDescent="0.25">
      <c r="A17" s="1"/>
      <c r="B17" s="41">
        <f t="shared" si="0"/>
        <v>8</v>
      </c>
      <c r="C17" s="40" t="s">
        <v>7</v>
      </c>
      <c r="D17" s="48" t="s">
        <v>22</v>
      </c>
      <c r="E17" s="28" t="s">
        <v>71</v>
      </c>
      <c r="F17" s="28" t="s">
        <v>117</v>
      </c>
      <c r="G17" s="28" t="s">
        <v>132</v>
      </c>
      <c r="H17" s="28" t="s">
        <v>177</v>
      </c>
      <c r="I17" s="28" t="s">
        <v>197</v>
      </c>
      <c r="J17" s="28">
        <v>1</v>
      </c>
      <c r="K17" s="69">
        <v>1.1599999999999999</v>
      </c>
      <c r="L17" s="28"/>
    </row>
    <row r="18" spans="1:12" x14ac:dyDescent="0.25">
      <c r="A18" s="1"/>
      <c r="B18" s="39">
        <f>ROW(B18) - ROW($B$9)</f>
        <v>9</v>
      </c>
      <c r="C18" s="40" t="s">
        <v>7</v>
      </c>
      <c r="D18" s="47" t="s">
        <v>23</v>
      </c>
      <c r="E18" s="27" t="s">
        <v>72</v>
      </c>
      <c r="F18" s="27" t="s">
        <v>117</v>
      </c>
      <c r="G18" s="27" t="s">
        <v>242</v>
      </c>
      <c r="H18" s="27" t="s">
        <v>178</v>
      </c>
      <c r="I18" s="27" t="s">
        <v>198</v>
      </c>
      <c r="J18" s="27">
        <v>1</v>
      </c>
      <c r="K18" s="68">
        <v>1.08</v>
      </c>
      <c r="L18" s="27"/>
    </row>
    <row r="19" spans="1:12" ht="36" x14ac:dyDescent="0.25">
      <c r="A19" s="1"/>
      <c r="B19" s="41">
        <f t="shared" si="0"/>
        <v>10</v>
      </c>
      <c r="C19" s="40" t="s">
        <v>7</v>
      </c>
      <c r="D19" s="48" t="s">
        <v>24</v>
      </c>
      <c r="E19" s="28" t="s">
        <v>73</v>
      </c>
      <c r="F19" s="28" t="s">
        <v>118</v>
      </c>
      <c r="G19" s="28" t="s">
        <v>133</v>
      </c>
      <c r="H19" s="28" t="s">
        <v>177</v>
      </c>
      <c r="I19" s="28" t="s">
        <v>190</v>
      </c>
      <c r="J19" s="28">
        <v>2</v>
      </c>
      <c r="K19" s="69">
        <v>1.9411</v>
      </c>
      <c r="L19" s="28"/>
    </row>
    <row r="20" spans="1:12" ht="36" x14ac:dyDescent="0.25">
      <c r="A20" s="1"/>
      <c r="B20" s="39">
        <f>ROW(B20) - ROW($B$9)</f>
        <v>11</v>
      </c>
      <c r="C20" s="40" t="s">
        <v>7</v>
      </c>
      <c r="D20" s="47" t="s">
        <v>25</v>
      </c>
      <c r="E20" s="27" t="s">
        <v>74</v>
      </c>
      <c r="F20" s="27" t="s">
        <v>119</v>
      </c>
      <c r="G20" s="27" t="s">
        <v>134</v>
      </c>
      <c r="H20" s="27" t="s">
        <v>179</v>
      </c>
      <c r="I20" s="27" t="s">
        <v>199</v>
      </c>
      <c r="J20" s="27">
        <v>1</v>
      </c>
      <c r="K20" s="68">
        <v>1.345</v>
      </c>
      <c r="L20" s="27"/>
    </row>
    <row r="21" spans="1:12" x14ac:dyDescent="0.25">
      <c r="A21" s="1"/>
      <c r="B21" s="41">
        <f t="shared" si="0"/>
        <v>12</v>
      </c>
      <c r="C21" s="40" t="s">
        <v>7</v>
      </c>
      <c r="D21" s="48" t="s">
        <v>26</v>
      </c>
      <c r="E21" s="28" t="s">
        <v>75</v>
      </c>
      <c r="F21" s="28" t="s">
        <v>118</v>
      </c>
      <c r="G21" s="28" t="s">
        <v>243</v>
      </c>
      <c r="H21" s="28" t="s">
        <v>175</v>
      </c>
      <c r="I21" s="28" t="s">
        <v>200</v>
      </c>
      <c r="J21" s="28">
        <v>1</v>
      </c>
      <c r="K21" s="69">
        <v>1.3363999999999998</v>
      </c>
      <c r="L21" s="28"/>
    </row>
    <row r="22" spans="1:12" x14ac:dyDescent="0.25">
      <c r="A22" s="1"/>
      <c r="B22" s="39">
        <f>ROW(B22) - ROW($B$9)</f>
        <v>13</v>
      </c>
      <c r="C22" s="40" t="s">
        <v>7</v>
      </c>
      <c r="D22" s="47" t="s">
        <v>27</v>
      </c>
      <c r="E22" s="27" t="s">
        <v>76</v>
      </c>
      <c r="F22" s="27" t="s">
        <v>117</v>
      </c>
      <c r="G22" s="27" t="s">
        <v>244</v>
      </c>
      <c r="H22" s="27" t="s">
        <v>180</v>
      </c>
      <c r="I22" s="27" t="s">
        <v>201</v>
      </c>
      <c r="J22" s="27">
        <v>1</v>
      </c>
      <c r="K22" s="68">
        <v>0.95499999999999996</v>
      </c>
      <c r="L22" s="27"/>
    </row>
    <row r="23" spans="1:12" x14ac:dyDescent="0.25">
      <c r="A23" s="1"/>
      <c r="B23" s="41">
        <f t="shared" si="0"/>
        <v>14</v>
      </c>
      <c r="C23" s="40" t="s">
        <v>7</v>
      </c>
      <c r="D23" s="48" t="s">
        <v>28</v>
      </c>
      <c r="E23" s="28" t="s">
        <v>77</v>
      </c>
      <c r="F23" s="28" t="s">
        <v>116</v>
      </c>
      <c r="G23" s="28" t="s">
        <v>135</v>
      </c>
      <c r="H23" s="28" t="s">
        <v>180</v>
      </c>
      <c r="I23" s="28" t="s">
        <v>202</v>
      </c>
      <c r="J23" s="28">
        <v>1</v>
      </c>
      <c r="K23" s="69">
        <v>1.3919999999999999</v>
      </c>
      <c r="L23" s="28"/>
    </row>
    <row r="24" spans="1:12" ht="36" x14ac:dyDescent="0.25">
      <c r="A24" s="1"/>
      <c r="B24" s="39">
        <f>ROW(B24) - ROW($B$9)</f>
        <v>15</v>
      </c>
      <c r="C24" s="42" t="s">
        <v>8</v>
      </c>
      <c r="D24" s="47" t="s">
        <v>29</v>
      </c>
      <c r="E24" s="27" t="s">
        <v>78</v>
      </c>
      <c r="F24" s="27" t="s">
        <v>120</v>
      </c>
      <c r="G24" s="27" t="s">
        <v>136</v>
      </c>
      <c r="H24" s="27" t="s">
        <v>181</v>
      </c>
      <c r="I24" s="27" t="s">
        <v>236</v>
      </c>
      <c r="J24" s="27">
        <v>1</v>
      </c>
      <c r="K24" s="68">
        <v>1.1179999999999999</v>
      </c>
      <c r="L24" s="27"/>
    </row>
    <row r="25" spans="1:12" ht="36" x14ac:dyDescent="0.25">
      <c r="A25" s="1"/>
      <c r="B25" s="41">
        <f t="shared" si="0"/>
        <v>16</v>
      </c>
      <c r="C25" s="40" t="s">
        <v>8</v>
      </c>
      <c r="D25" s="48" t="s">
        <v>30</v>
      </c>
      <c r="E25" s="28" t="s">
        <v>79</v>
      </c>
      <c r="F25" s="28" t="s">
        <v>121</v>
      </c>
      <c r="G25" s="28" t="s">
        <v>137</v>
      </c>
      <c r="H25" s="28" t="s">
        <v>182</v>
      </c>
      <c r="I25" s="28" t="s">
        <v>236</v>
      </c>
      <c r="J25" s="28">
        <v>1</v>
      </c>
      <c r="K25" s="69">
        <v>1.4049999999999998</v>
      </c>
      <c r="L25" s="28"/>
    </row>
    <row r="26" spans="1:12" ht="36" x14ac:dyDescent="0.25">
      <c r="A26" s="1"/>
      <c r="B26" s="39">
        <f>ROW(B26) - ROW($B$9)</f>
        <v>17</v>
      </c>
      <c r="C26" s="42" t="s">
        <v>9</v>
      </c>
      <c r="D26" s="47" t="s">
        <v>31</v>
      </c>
      <c r="E26" s="27" t="s">
        <v>80</v>
      </c>
      <c r="F26" s="27" t="s">
        <v>235</v>
      </c>
      <c r="G26" s="27" t="s">
        <v>138</v>
      </c>
      <c r="H26" s="27" t="s">
        <v>183</v>
      </c>
      <c r="I26" s="27" t="s">
        <v>236</v>
      </c>
      <c r="J26" s="27">
        <v>1</v>
      </c>
      <c r="K26" s="68">
        <v>1.0549999999999999</v>
      </c>
      <c r="L26" s="27"/>
    </row>
    <row r="27" spans="1:12" ht="36" x14ac:dyDescent="0.25">
      <c r="A27" s="1"/>
      <c r="B27" s="41">
        <f t="shared" si="0"/>
        <v>18</v>
      </c>
      <c r="C27" s="40" t="s">
        <v>11</v>
      </c>
      <c r="D27" s="48" t="s">
        <v>247</v>
      </c>
      <c r="E27" s="28" t="s">
        <v>248</v>
      </c>
      <c r="F27" s="28" t="s">
        <v>235</v>
      </c>
      <c r="G27" s="28" t="s">
        <v>249</v>
      </c>
      <c r="H27" s="28" t="s">
        <v>250</v>
      </c>
      <c r="I27" s="28" t="s">
        <v>203</v>
      </c>
      <c r="J27" s="28">
        <v>2</v>
      </c>
      <c r="K27" s="69">
        <v>2.2290000000000001</v>
      </c>
      <c r="L27" s="28"/>
    </row>
    <row r="28" spans="1:12" ht="24" x14ac:dyDescent="0.25">
      <c r="A28" s="1"/>
      <c r="B28" s="39">
        <f>ROW(B28) - ROW($B$9)</f>
        <v>19</v>
      </c>
      <c r="C28" s="42" t="s">
        <v>10</v>
      </c>
      <c r="D28" s="47" t="s">
        <v>32</v>
      </c>
      <c r="E28" s="27" t="s">
        <v>82</v>
      </c>
      <c r="F28" s="27" t="s">
        <v>122</v>
      </c>
      <c r="G28" s="27" t="s">
        <v>140</v>
      </c>
      <c r="H28" s="27" t="s">
        <v>174</v>
      </c>
      <c r="I28" s="27" t="s">
        <v>204</v>
      </c>
      <c r="J28" s="27">
        <v>13</v>
      </c>
      <c r="K28" s="68">
        <v>1.1459999999999999</v>
      </c>
      <c r="L28" s="27"/>
    </row>
    <row r="29" spans="1:12" ht="24" x14ac:dyDescent="0.25">
      <c r="A29" s="1"/>
      <c r="B29" s="41">
        <f t="shared" si="0"/>
        <v>20</v>
      </c>
      <c r="C29" s="40" t="s">
        <v>11</v>
      </c>
      <c r="D29" s="48" t="s">
        <v>251</v>
      </c>
      <c r="E29" s="28" t="s">
        <v>83</v>
      </c>
      <c r="F29" s="28" t="s">
        <v>235</v>
      </c>
      <c r="G29" s="28" t="s">
        <v>141</v>
      </c>
      <c r="H29" s="28" t="s">
        <v>185</v>
      </c>
      <c r="I29" s="28" t="s">
        <v>205</v>
      </c>
      <c r="J29" s="28">
        <v>1</v>
      </c>
      <c r="K29" s="69">
        <v>1.4550000000000001</v>
      </c>
      <c r="L29" s="28"/>
    </row>
    <row r="30" spans="1:12" x14ac:dyDescent="0.25">
      <c r="A30" s="1"/>
      <c r="B30" s="39">
        <f>ROW(B30) - ROW($B$9)</f>
        <v>21</v>
      </c>
      <c r="C30" s="42" t="s">
        <v>10</v>
      </c>
      <c r="D30" s="47" t="s">
        <v>33</v>
      </c>
      <c r="E30" s="27" t="s">
        <v>84</v>
      </c>
      <c r="F30" s="27" t="s">
        <v>122</v>
      </c>
      <c r="G30" s="27" t="s">
        <v>142</v>
      </c>
      <c r="H30" s="27" t="s">
        <v>174</v>
      </c>
      <c r="I30" s="27" t="s">
        <v>206</v>
      </c>
      <c r="J30" s="27">
        <v>4</v>
      </c>
      <c r="K30" s="68">
        <v>1.1499999999999999</v>
      </c>
      <c r="L30" s="27"/>
    </row>
    <row r="31" spans="1:12" x14ac:dyDescent="0.25">
      <c r="A31" s="1"/>
      <c r="B31" s="41">
        <f t="shared" si="0"/>
        <v>22</v>
      </c>
      <c r="C31" s="40" t="s">
        <v>10</v>
      </c>
      <c r="D31" s="48" t="s">
        <v>34</v>
      </c>
      <c r="E31" s="28" t="s">
        <v>85</v>
      </c>
      <c r="F31" s="28" t="s">
        <v>122</v>
      </c>
      <c r="G31" s="28" t="s">
        <v>143</v>
      </c>
      <c r="H31" s="28" t="s">
        <v>174</v>
      </c>
      <c r="I31" s="28" t="s">
        <v>207</v>
      </c>
      <c r="J31" s="28">
        <v>2</v>
      </c>
      <c r="K31" s="69">
        <v>1.2999999999999998</v>
      </c>
      <c r="L31" s="28"/>
    </row>
    <row r="32" spans="1:12" x14ac:dyDescent="0.25">
      <c r="A32" s="1"/>
      <c r="B32" s="39">
        <f>ROW(B32) - ROW($B$9)</f>
        <v>23</v>
      </c>
      <c r="C32" s="42" t="s">
        <v>10</v>
      </c>
      <c r="D32" s="47" t="s">
        <v>35</v>
      </c>
      <c r="E32" s="27" t="s">
        <v>86</v>
      </c>
      <c r="F32" s="27" t="s">
        <v>122</v>
      </c>
      <c r="G32" s="27" t="s">
        <v>144</v>
      </c>
      <c r="H32" s="27" t="s">
        <v>174</v>
      </c>
      <c r="I32" s="27" t="s">
        <v>208</v>
      </c>
      <c r="J32" s="27">
        <v>1</v>
      </c>
      <c r="K32" s="68">
        <v>1.268</v>
      </c>
      <c r="L32" s="27"/>
    </row>
    <row r="33" spans="1:12" ht="24" x14ac:dyDescent="0.25">
      <c r="A33" s="1"/>
      <c r="B33" s="39">
        <f>ROW(B33) - ROW($B$9)</f>
        <v>24</v>
      </c>
      <c r="C33" s="40" t="s">
        <v>11</v>
      </c>
      <c r="D33" s="48" t="s">
        <v>252</v>
      </c>
      <c r="E33" s="28" t="s">
        <v>253</v>
      </c>
      <c r="F33" s="28" t="s">
        <v>235</v>
      </c>
      <c r="G33" s="28" t="s">
        <v>254</v>
      </c>
      <c r="H33" s="28" t="s">
        <v>250</v>
      </c>
      <c r="I33" s="28" t="s">
        <v>205</v>
      </c>
      <c r="J33" s="28">
        <v>1</v>
      </c>
      <c r="K33" s="69">
        <v>2.4249999999999998</v>
      </c>
      <c r="L33" s="28"/>
    </row>
    <row r="34" spans="1:12" x14ac:dyDescent="0.25">
      <c r="A34" s="1"/>
      <c r="B34" s="41">
        <f t="shared" si="0"/>
        <v>25</v>
      </c>
      <c r="C34" s="40" t="s">
        <v>10</v>
      </c>
      <c r="D34" s="48" t="s">
        <v>36</v>
      </c>
      <c r="E34" s="28" t="s">
        <v>87</v>
      </c>
      <c r="F34" s="28" t="s">
        <v>122</v>
      </c>
      <c r="G34" s="28" t="s">
        <v>145</v>
      </c>
      <c r="H34" s="28" t="s">
        <v>174</v>
      </c>
      <c r="I34" s="28" t="s">
        <v>209</v>
      </c>
      <c r="J34" s="28">
        <v>2</v>
      </c>
      <c r="K34" s="68">
        <v>1.292</v>
      </c>
      <c r="L34" s="27"/>
    </row>
    <row r="35" spans="1:12" x14ac:dyDescent="0.25">
      <c r="A35" s="1"/>
      <c r="B35" s="39">
        <f>ROW(B35) - ROW($B$9)</f>
        <v>26</v>
      </c>
      <c r="C35" s="42" t="s">
        <v>10</v>
      </c>
      <c r="D35" s="47" t="s">
        <v>37</v>
      </c>
      <c r="E35" s="27" t="s">
        <v>88</v>
      </c>
      <c r="F35" s="27" t="s">
        <v>122</v>
      </c>
      <c r="G35" s="27" t="s">
        <v>146</v>
      </c>
      <c r="H35" s="27" t="s">
        <v>174</v>
      </c>
      <c r="I35" s="27" t="s">
        <v>210</v>
      </c>
      <c r="J35" s="27">
        <v>1</v>
      </c>
      <c r="K35" s="68">
        <v>1.2439999999999998</v>
      </c>
      <c r="L35" s="28"/>
    </row>
    <row r="36" spans="1:12" ht="24" x14ac:dyDescent="0.25">
      <c r="A36" s="1"/>
      <c r="B36" s="41">
        <f t="shared" si="0"/>
        <v>27</v>
      </c>
      <c r="C36" s="40" t="s">
        <v>10</v>
      </c>
      <c r="D36" s="48" t="s">
        <v>38</v>
      </c>
      <c r="E36" s="28" t="s">
        <v>89</v>
      </c>
      <c r="F36" s="28" t="s">
        <v>122</v>
      </c>
      <c r="G36" s="28" t="s">
        <v>147</v>
      </c>
      <c r="H36" s="28" t="s">
        <v>186</v>
      </c>
      <c r="I36" s="28" t="s">
        <v>211</v>
      </c>
      <c r="J36" s="28">
        <v>2</v>
      </c>
      <c r="K36" s="68">
        <v>1.115</v>
      </c>
      <c r="L36" s="27"/>
    </row>
    <row r="37" spans="1:12" ht="24" x14ac:dyDescent="0.25">
      <c r="A37" s="1"/>
      <c r="B37" s="39">
        <f>ROW(B37) - ROW($B$9)</f>
        <v>28</v>
      </c>
      <c r="C37" s="42" t="s">
        <v>10</v>
      </c>
      <c r="D37" s="47" t="s">
        <v>39</v>
      </c>
      <c r="E37" s="27" t="s">
        <v>90</v>
      </c>
      <c r="F37" s="27" t="s">
        <v>123</v>
      </c>
      <c r="G37" s="27" t="s">
        <v>148</v>
      </c>
      <c r="H37" s="27" t="s">
        <v>186</v>
      </c>
      <c r="I37" s="27" t="s">
        <v>212</v>
      </c>
      <c r="J37" s="27">
        <v>3</v>
      </c>
      <c r="K37" s="68">
        <v>1.1299999999999999</v>
      </c>
      <c r="L37" s="28"/>
    </row>
    <row r="38" spans="1:12" ht="24" x14ac:dyDescent="0.25">
      <c r="A38" s="1"/>
      <c r="B38" s="41">
        <f t="shared" si="0"/>
        <v>29</v>
      </c>
      <c r="C38" s="40" t="s">
        <v>10</v>
      </c>
      <c r="D38" s="48" t="s">
        <v>40</v>
      </c>
      <c r="E38" s="28" t="s">
        <v>91</v>
      </c>
      <c r="F38" s="28" t="s">
        <v>124</v>
      </c>
      <c r="G38" s="28" t="s">
        <v>149</v>
      </c>
      <c r="H38" s="28" t="s">
        <v>186</v>
      </c>
      <c r="I38" s="28" t="s">
        <v>213</v>
      </c>
      <c r="J38" s="28">
        <v>2</v>
      </c>
      <c r="K38" s="68">
        <v>1.202</v>
      </c>
      <c r="L38" s="27"/>
    </row>
    <row r="39" spans="1:12" ht="24" x14ac:dyDescent="0.25">
      <c r="A39" s="1"/>
      <c r="B39" s="39">
        <f>ROW(B39) - ROW($B$9)</f>
        <v>30</v>
      </c>
      <c r="C39" s="42" t="s">
        <v>10</v>
      </c>
      <c r="D39" s="47" t="s">
        <v>41</v>
      </c>
      <c r="E39" s="27" t="s">
        <v>92</v>
      </c>
      <c r="F39" s="27" t="s">
        <v>122</v>
      </c>
      <c r="G39" s="27" t="s">
        <v>150</v>
      </c>
      <c r="H39" s="27" t="s">
        <v>186</v>
      </c>
      <c r="I39" s="27" t="s">
        <v>214</v>
      </c>
      <c r="J39" s="27">
        <v>3</v>
      </c>
      <c r="K39" s="68">
        <v>1.272</v>
      </c>
      <c r="L39" s="28"/>
    </row>
    <row r="40" spans="1:12" x14ac:dyDescent="0.25">
      <c r="A40" s="1"/>
      <c r="B40" s="41">
        <f t="shared" si="0"/>
        <v>31</v>
      </c>
      <c r="C40" s="40" t="s">
        <v>10</v>
      </c>
      <c r="D40" s="48" t="s">
        <v>42</v>
      </c>
      <c r="E40" s="28" t="s">
        <v>93</v>
      </c>
      <c r="F40" s="28" t="s">
        <v>122</v>
      </c>
      <c r="G40" s="28" t="s">
        <v>151</v>
      </c>
      <c r="H40" s="28" t="s">
        <v>174</v>
      </c>
      <c r="I40" s="28" t="s">
        <v>215</v>
      </c>
      <c r="J40" s="28">
        <v>2</v>
      </c>
      <c r="K40" s="68">
        <v>1.1099999999999999</v>
      </c>
      <c r="L40" s="27"/>
    </row>
    <row r="41" spans="1:12" x14ac:dyDescent="0.25">
      <c r="A41" s="1"/>
      <c r="B41" s="39">
        <f>ROW(B41) - ROW($B$9)</f>
        <v>32</v>
      </c>
      <c r="C41" s="42" t="s">
        <v>10</v>
      </c>
      <c r="D41" s="47" t="s">
        <v>43</v>
      </c>
      <c r="E41" s="27" t="s">
        <v>94</v>
      </c>
      <c r="F41" s="27" t="s">
        <v>122</v>
      </c>
      <c r="G41" s="27" t="s">
        <v>152</v>
      </c>
      <c r="H41" s="27" t="s">
        <v>174</v>
      </c>
      <c r="I41" s="27" t="s">
        <v>216</v>
      </c>
      <c r="J41" s="27">
        <v>3</v>
      </c>
      <c r="K41" s="68">
        <v>1.2959999999999998</v>
      </c>
      <c r="L41" s="28"/>
    </row>
    <row r="42" spans="1:12" x14ac:dyDescent="0.25">
      <c r="A42" s="1"/>
      <c r="B42" s="41">
        <f t="shared" si="0"/>
        <v>33</v>
      </c>
      <c r="C42" s="40"/>
      <c r="D42" s="48" t="s">
        <v>44</v>
      </c>
      <c r="E42" s="28" t="s">
        <v>95</v>
      </c>
      <c r="F42" s="28" t="s">
        <v>124</v>
      </c>
      <c r="G42" s="28" t="s">
        <v>153</v>
      </c>
      <c r="H42" s="28" t="s">
        <v>174</v>
      </c>
      <c r="I42" s="28" t="s">
        <v>217</v>
      </c>
      <c r="J42" s="28">
        <v>3</v>
      </c>
      <c r="K42" s="68">
        <v>0.76999999999999991</v>
      </c>
      <c r="L42" s="27"/>
    </row>
    <row r="43" spans="1:12" x14ac:dyDescent="0.25">
      <c r="A43" s="1"/>
      <c r="B43" s="39">
        <f>ROW(B43) - ROW($B$9)</f>
        <v>34</v>
      </c>
      <c r="C43" s="42" t="s">
        <v>10</v>
      </c>
      <c r="D43" s="47" t="s">
        <v>45</v>
      </c>
      <c r="E43" s="27" t="s">
        <v>96</v>
      </c>
      <c r="F43" s="27" t="s">
        <v>122</v>
      </c>
      <c r="G43" s="27" t="s">
        <v>154</v>
      </c>
      <c r="H43" s="27" t="s">
        <v>174</v>
      </c>
      <c r="I43" s="27" t="s">
        <v>218</v>
      </c>
      <c r="J43" s="27">
        <v>2</v>
      </c>
      <c r="K43" s="68">
        <v>0.82</v>
      </c>
      <c r="L43" s="28"/>
    </row>
    <row r="44" spans="1:12" ht="24" x14ac:dyDescent="0.25">
      <c r="A44" s="1"/>
      <c r="B44" s="41">
        <f t="shared" si="0"/>
        <v>35</v>
      </c>
      <c r="C44" s="40" t="s">
        <v>10</v>
      </c>
      <c r="D44" s="48" t="s">
        <v>46</v>
      </c>
      <c r="E44" s="28" t="s">
        <v>97</v>
      </c>
      <c r="F44" s="28" t="s">
        <v>122</v>
      </c>
      <c r="G44" s="28" t="s">
        <v>155</v>
      </c>
      <c r="H44" s="28" t="s">
        <v>186</v>
      </c>
      <c r="I44" s="28" t="s">
        <v>219</v>
      </c>
      <c r="J44" s="28">
        <v>3</v>
      </c>
      <c r="K44" s="68">
        <v>1.2439999999999998</v>
      </c>
      <c r="L44" s="27"/>
    </row>
    <row r="45" spans="1:12" x14ac:dyDescent="0.25">
      <c r="A45" s="1"/>
      <c r="B45" s="39">
        <f>ROW(B45) - ROW($B$9)</f>
        <v>36</v>
      </c>
      <c r="C45" s="42" t="s">
        <v>10</v>
      </c>
      <c r="D45" s="47" t="s">
        <v>47</v>
      </c>
      <c r="E45" s="27" t="s">
        <v>98</v>
      </c>
      <c r="F45" s="27" t="s">
        <v>124</v>
      </c>
      <c r="G45" s="27" t="s">
        <v>156</v>
      </c>
      <c r="H45" s="27" t="s">
        <v>174</v>
      </c>
      <c r="I45" s="27" t="s">
        <v>220</v>
      </c>
      <c r="J45" s="27">
        <v>2</v>
      </c>
      <c r="K45" s="68">
        <v>1.198</v>
      </c>
      <c r="L45" s="28"/>
    </row>
    <row r="46" spans="1:12" ht="24" x14ac:dyDescent="0.25">
      <c r="A46" s="1"/>
      <c r="B46" s="41">
        <f t="shared" si="0"/>
        <v>37</v>
      </c>
      <c r="C46" s="40" t="s">
        <v>10</v>
      </c>
      <c r="D46" s="48" t="s">
        <v>48</v>
      </c>
      <c r="E46" s="28" t="s">
        <v>99</v>
      </c>
      <c r="F46" s="28" t="s">
        <v>122</v>
      </c>
      <c r="G46" s="28" t="s">
        <v>157</v>
      </c>
      <c r="H46" s="28" t="s">
        <v>186</v>
      </c>
      <c r="I46" s="28" t="s">
        <v>221</v>
      </c>
      <c r="J46" s="28">
        <v>3</v>
      </c>
      <c r="K46" s="68">
        <v>1.3039999999999998</v>
      </c>
      <c r="L46" s="27"/>
    </row>
    <row r="47" spans="1:12" x14ac:dyDescent="0.25">
      <c r="A47" s="1"/>
      <c r="B47" s="39">
        <f>ROW(B47) - ROW($B$9)</f>
        <v>38</v>
      </c>
      <c r="C47" s="42" t="s">
        <v>10</v>
      </c>
      <c r="D47" s="47" t="s">
        <v>49</v>
      </c>
      <c r="E47" s="27" t="s">
        <v>100</v>
      </c>
      <c r="F47" s="27" t="s">
        <v>122</v>
      </c>
      <c r="G47" s="27" t="s">
        <v>158</v>
      </c>
      <c r="H47" s="27" t="s">
        <v>174</v>
      </c>
      <c r="I47" s="27" t="s">
        <v>222</v>
      </c>
      <c r="J47" s="27">
        <v>2</v>
      </c>
      <c r="K47" s="68">
        <v>1.2559999999999998</v>
      </c>
      <c r="L47" s="28"/>
    </row>
    <row r="48" spans="1:12" ht="48" x14ac:dyDescent="0.25">
      <c r="A48" s="1"/>
      <c r="B48" s="41">
        <f t="shared" si="0"/>
        <v>39</v>
      </c>
      <c r="C48" s="40" t="s">
        <v>10</v>
      </c>
      <c r="D48" s="48" t="s">
        <v>50</v>
      </c>
      <c r="E48" s="28" t="s">
        <v>101</v>
      </c>
      <c r="F48" s="28" t="s">
        <v>123</v>
      </c>
      <c r="G48" s="28" t="s">
        <v>159</v>
      </c>
      <c r="H48" s="28" t="s">
        <v>186</v>
      </c>
      <c r="I48" s="28" t="s">
        <v>223</v>
      </c>
      <c r="J48" s="28">
        <v>2</v>
      </c>
      <c r="K48" s="68">
        <v>1.3479999999999999</v>
      </c>
      <c r="L48" s="27"/>
    </row>
    <row r="49" spans="1:12" x14ac:dyDescent="0.25">
      <c r="A49" s="1"/>
      <c r="B49" s="39">
        <f>ROW(B49) - ROW($B$9)</f>
        <v>40</v>
      </c>
      <c r="C49" s="42" t="s">
        <v>10</v>
      </c>
      <c r="D49" s="47" t="s">
        <v>51</v>
      </c>
      <c r="E49" s="27" t="s">
        <v>102</v>
      </c>
      <c r="F49" s="27" t="s">
        <v>124</v>
      </c>
      <c r="G49" s="27" t="s">
        <v>160</v>
      </c>
      <c r="H49" s="27" t="s">
        <v>174</v>
      </c>
      <c r="I49" s="27" t="s">
        <v>224</v>
      </c>
      <c r="J49" s="27">
        <v>3</v>
      </c>
      <c r="K49" s="68">
        <v>1.216</v>
      </c>
      <c r="L49" s="28"/>
    </row>
    <row r="50" spans="1:12" x14ac:dyDescent="0.25">
      <c r="A50" s="1"/>
      <c r="B50" s="41">
        <f t="shared" si="0"/>
        <v>41</v>
      </c>
      <c r="C50" s="40" t="s">
        <v>10</v>
      </c>
      <c r="D50" s="48" t="s">
        <v>52</v>
      </c>
      <c r="E50" s="28" t="s">
        <v>103</v>
      </c>
      <c r="F50" s="28" t="s">
        <v>122</v>
      </c>
      <c r="G50" s="28" t="s">
        <v>161</v>
      </c>
      <c r="H50" s="28" t="s">
        <v>174</v>
      </c>
      <c r="I50" s="28" t="s">
        <v>225</v>
      </c>
      <c r="J50" s="28">
        <v>1</v>
      </c>
      <c r="K50" s="68">
        <v>1.2879999999999998</v>
      </c>
      <c r="L50" s="27"/>
    </row>
    <row r="51" spans="1:12" ht="48" x14ac:dyDescent="0.25">
      <c r="A51" s="1"/>
      <c r="B51" s="39">
        <f>ROW(B51) - ROW($B$9)</f>
        <v>42</v>
      </c>
      <c r="C51" s="42" t="s">
        <v>10</v>
      </c>
      <c r="D51" s="47" t="s">
        <v>53</v>
      </c>
      <c r="E51" s="27" t="s">
        <v>104</v>
      </c>
      <c r="F51" s="27" t="s">
        <v>123</v>
      </c>
      <c r="G51" s="27" t="s">
        <v>162</v>
      </c>
      <c r="H51" s="27" t="s">
        <v>187</v>
      </c>
      <c r="I51" s="27" t="s">
        <v>226</v>
      </c>
      <c r="J51" s="27">
        <v>1</v>
      </c>
      <c r="K51" s="68">
        <v>0.8899999999999999</v>
      </c>
      <c r="L51" s="28"/>
    </row>
    <row r="52" spans="1:12" x14ac:dyDescent="0.25">
      <c r="A52" s="1"/>
      <c r="B52" s="41">
        <f t="shared" si="0"/>
        <v>43</v>
      </c>
      <c r="C52" s="40" t="s">
        <v>10</v>
      </c>
      <c r="D52" s="48" t="s">
        <v>54</v>
      </c>
      <c r="E52" s="28" t="s">
        <v>105</v>
      </c>
      <c r="F52" s="28" t="s">
        <v>123</v>
      </c>
      <c r="G52" s="28" t="s">
        <v>163</v>
      </c>
      <c r="H52" s="28" t="s">
        <v>174</v>
      </c>
      <c r="I52" s="28" t="s">
        <v>227</v>
      </c>
      <c r="J52" s="28">
        <v>1</v>
      </c>
      <c r="K52" s="68">
        <v>1.472</v>
      </c>
      <c r="L52" s="27"/>
    </row>
    <row r="53" spans="1:12" ht="48" x14ac:dyDescent="0.25">
      <c r="A53" s="1"/>
      <c r="B53" s="39">
        <f>ROW(B53) - ROW($B$9)</f>
        <v>44</v>
      </c>
      <c r="C53" s="42" t="s">
        <v>10</v>
      </c>
      <c r="D53" s="47" t="s">
        <v>55</v>
      </c>
      <c r="E53" s="27" t="s">
        <v>106</v>
      </c>
      <c r="F53" s="27" t="s">
        <v>124</v>
      </c>
      <c r="G53" s="27" t="s">
        <v>164</v>
      </c>
      <c r="H53" s="27" t="s">
        <v>186</v>
      </c>
      <c r="I53" s="27" t="s">
        <v>228</v>
      </c>
      <c r="J53" s="27">
        <v>1</v>
      </c>
      <c r="K53" s="68">
        <v>1.1339999999999999</v>
      </c>
      <c r="L53" s="28"/>
    </row>
    <row r="54" spans="1:12" ht="48" x14ac:dyDescent="0.25">
      <c r="A54" s="1"/>
      <c r="B54" s="41">
        <f t="shared" si="0"/>
        <v>45</v>
      </c>
      <c r="C54" s="40" t="s">
        <v>10</v>
      </c>
      <c r="D54" s="28" t="s">
        <v>56</v>
      </c>
      <c r="E54" s="28" t="s">
        <v>107</v>
      </c>
      <c r="F54" s="28" t="s">
        <v>123</v>
      </c>
      <c r="G54" s="28" t="s">
        <v>165</v>
      </c>
      <c r="H54" s="28" t="s">
        <v>186</v>
      </c>
      <c r="I54" s="28" t="s">
        <v>229</v>
      </c>
      <c r="J54" s="28">
        <v>1</v>
      </c>
      <c r="K54" s="68">
        <v>1.3239999999999998</v>
      </c>
      <c r="L54" s="27"/>
    </row>
    <row r="55" spans="1:12" x14ac:dyDescent="0.25">
      <c r="A55" s="1"/>
      <c r="B55" s="39">
        <f>ROW(B55) - ROW($B$9)</f>
        <v>46</v>
      </c>
      <c r="C55" s="42" t="s">
        <v>10</v>
      </c>
      <c r="D55" s="27" t="s">
        <v>57</v>
      </c>
      <c r="E55" s="27" t="s">
        <v>108</v>
      </c>
      <c r="F55" s="27" t="s">
        <v>124</v>
      </c>
      <c r="G55" s="27" t="s">
        <v>166</v>
      </c>
      <c r="H55" s="27" t="s">
        <v>174</v>
      </c>
      <c r="I55" s="27" t="s">
        <v>230</v>
      </c>
      <c r="J55" s="27">
        <v>1</v>
      </c>
      <c r="K55" s="68">
        <v>1.204</v>
      </c>
      <c r="L55" s="28"/>
    </row>
    <row r="56" spans="1:12" ht="48" x14ac:dyDescent="0.25">
      <c r="A56" s="1"/>
      <c r="B56" s="41">
        <f t="shared" si="0"/>
        <v>47</v>
      </c>
      <c r="C56" s="40" t="s">
        <v>10</v>
      </c>
      <c r="D56" s="28" t="s">
        <v>58</v>
      </c>
      <c r="E56" s="28" t="s">
        <v>109</v>
      </c>
      <c r="F56" s="28" t="s">
        <v>122</v>
      </c>
      <c r="G56" s="28" t="s">
        <v>167</v>
      </c>
      <c r="H56" s="28" t="s">
        <v>186</v>
      </c>
      <c r="I56" s="28" t="s">
        <v>231</v>
      </c>
      <c r="J56" s="28">
        <v>1</v>
      </c>
      <c r="K56" s="68">
        <v>1.1739999999999999</v>
      </c>
      <c r="L56" s="27"/>
    </row>
    <row r="57" spans="1:12" x14ac:dyDescent="0.25">
      <c r="A57" s="1"/>
      <c r="B57" s="41">
        <f t="shared" si="0"/>
        <v>48</v>
      </c>
      <c r="C57" s="40" t="s">
        <v>11</v>
      </c>
      <c r="D57" s="28" t="s">
        <v>255</v>
      </c>
      <c r="E57" s="28" t="s">
        <v>81</v>
      </c>
      <c r="F57" s="28" t="s">
        <v>235</v>
      </c>
      <c r="G57" s="28" t="s">
        <v>139</v>
      </c>
      <c r="H57" s="28" t="s">
        <v>184</v>
      </c>
      <c r="I57" s="28" t="s">
        <v>203</v>
      </c>
      <c r="J57" s="28">
        <v>1</v>
      </c>
      <c r="K57" s="69">
        <v>1.42</v>
      </c>
      <c r="L57" s="28"/>
    </row>
    <row r="58" spans="1:12" x14ac:dyDescent="0.25">
      <c r="A58" s="1"/>
      <c r="B58" s="39">
        <f>ROW(B58) - ROW($B$9)</f>
        <v>49</v>
      </c>
      <c r="C58" s="42" t="s">
        <v>10</v>
      </c>
      <c r="D58" s="27" t="s">
        <v>59</v>
      </c>
      <c r="E58" s="27" t="s">
        <v>110</v>
      </c>
      <c r="F58" s="27" t="s">
        <v>122</v>
      </c>
      <c r="G58" s="27" t="s">
        <v>168</v>
      </c>
      <c r="H58" s="27" t="s">
        <v>174</v>
      </c>
      <c r="I58" s="27" t="s">
        <v>232</v>
      </c>
      <c r="J58" s="27">
        <v>2</v>
      </c>
      <c r="K58" s="68">
        <v>1.208</v>
      </c>
      <c r="L58" s="27"/>
    </row>
    <row r="59" spans="1:12" x14ac:dyDescent="0.25">
      <c r="A59" s="1"/>
      <c r="B59" s="41">
        <f t="shared" si="0"/>
        <v>50</v>
      </c>
      <c r="C59" s="40" t="s">
        <v>12</v>
      </c>
      <c r="D59" s="43" t="s">
        <v>60</v>
      </c>
      <c r="E59" s="43" t="s">
        <v>111</v>
      </c>
      <c r="F59" s="43" t="s">
        <v>235</v>
      </c>
      <c r="G59" s="43" t="s">
        <v>12</v>
      </c>
      <c r="H59" s="43" t="s">
        <v>236</v>
      </c>
      <c r="I59" s="43" t="s">
        <v>236</v>
      </c>
      <c r="J59" s="43">
        <v>2</v>
      </c>
      <c r="K59" s="76" t="s">
        <v>236</v>
      </c>
      <c r="L59" s="27"/>
    </row>
    <row r="60" spans="1:12" ht="48" x14ac:dyDescent="0.25">
      <c r="A60" s="1"/>
      <c r="B60" s="39">
        <f>ROW(B60) - ROW($B$9)</f>
        <v>51</v>
      </c>
      <c r="C60" s="42" t="s">
        <v>13</v>
      </c>
      <c r="D60" s="27" t="s">
        <v>61</v>
      </c>
      <c r="E60" s="27" t="s">
        <v>112</v>
      </c>
      <c r="F60" s="27" t="s">
        <v>235</v>
      </c>
      <c r="G60" s="27" t="s">
        <v>169</v>
      </c>
      <c r="H60" s="27" t="s">
        <v>188</v>
      </c>
      <c r="I60" s="27" t="s">
        <v>236</v>
      </c>
      <c r="J60" s="27">
        <v>9</v>
      </c>
      <c r="K60" s="68">
        <v>11.042</v>
      </c>
      <c r="L60" s="27"/>
    </row>
    <row r="61" spans="1:12" ht="24.75" thickBot="1" x14ac:dyDescent="0.3">
      <c r="A61" s="1"/>
      <c r="B61" s="49">
        <f t="shared" si="0"/>
        <v>52</v>
      </c>
      <c r="C61" s="50" t="s">
        <v>237</v>
      </c>
      <c r="D61" s="51" t="s">
        <v>62</v>
      </c>
      <c r="E61" s="51" t="s">
        <v>113</v>
      </c>
      <c r="F61" s="51" t="s">
        <v>125</v>
      </c>
      <c r="G61" s="51" t="s">
        <v>170</v>
      </c>
      <c r="H61" s="51" t="s">
        <v>189</v>
      </c>
      <c r="I61" s="51" t="s">
        <v>236</v>
      </c>
      <c r="J61" s="51">
        <v>3</v>
      </c>
      <c r="K61" s="77">
        <v>1.839</v>
      </c>
      <c r="L61" s="27"/>
    </row>
    <row r="62" spans="1:12" ht="19.5" thickBot="1" x14ac:dyDescent="0.3">
      <c r="B62" s="52"/>
      <c r="C62" s="53"/>
      <c r="D62" s="54"/>
      <c r="E62" s="55"/>
      <c r="F62" s="56"/>
      <c r="G62" s="57"/>
      <c r="H62" s="72" t="s">
        <v>259</v>
      </c>
      <c r="I62" s="73"/>
      <c r="J62" s="73"/>
      <c r="K62" s="74">
        <f>SUM(K10:K61)</f>
        <v>74.817499999999995</v>
      </c>
      <c r="L62" s="57"/>
    </row>
  </sheetData>
  <mergeCells count="3">
    <mergeCell ref="I1:L1"/>
    <mergeCell ref="L3:L8"/>
    <mergeCell ref="H62:J6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activeCell="J68" sqref="J68"/>
    </sheetView>
  </sheetViews>
  <sheetFormatPr defaultRowHeight="15" x14ac:dyDescent="0.25"/>
  <cols>
    <col min="2" max="2" width="3" bestFit="1" customWidth="1"/>
    <col min="3" max="3" width="16.140625" customWidth="1"/>
    <col min="4" max="4" width="31.140625" bestFit="1" customWidth="1"/>
    <col min="5" max="5" width="27.140625" customWidth="1"/>
    <col min="6" max="6" width="14.28515625" customWidth="1"/>
    <col min="7" max="7" width="25.28515625" bestFit="1" customWidth="1"/>
    <col min="8" max="8" width="13.28515625" bestFit="1" customWidth="1"/>
    <col min="9" max="9" width="6.140625" bestFit="1" customWidth="1"/>
    <col min="10" max="10" width="18" bestFit="1" customWidth="1"/>
    <col min="11" max="11" width="18" customWidth="1"/>
    <col min="12" max="12" width="19.28515625" bestFit="1" customWidth="1"/>
    <col min="13" max="13" width="28.7109375" customWidth="1"/>
  </cols>
  <sheetData>
    <row r="1" spans="1:13" ht="15.75" thickBot="1" x14ac:dyDescent="0.3">
      <c r="A1" s="1"/>
      <c r="B1" s="17"/>
      <c r="C1" s="17"/>
      <c r="D1" s="2"/>
      <c r="E1" s="2"/>
      <c r="F1" s="2"/>
      <c r="G1" s="2"/>
      <c r="H1" s="2"/>
      <c r="I1" s="65"/>
      <c r="J1" s="65"/>
      <c r="K1" s="65"/>
      <c r="L1" s="65"/>
      <c r="M1" s="65"/>
    </row>
    <row r="2" spans="1:13" ht="32.25" thickBot="1" x14ac:dyDescent="0.3">
      <c r="A2" s="1"/>
      <c r="B2" s="18"/>
      <c r="C2" s="30"/>
      <c r="D2" s="8" t="s">
        <v>0</v>
      </c>
      <c r="E2" s="8"/>
      <c r="F2" s="35" t="s">
        <v>233</v>
      </c>
      <c r="G2" s="9"/>
      <c r="H2" s="9"/>
      <c r="I2" s="3"/>
      <c r="J2" s="3"/>
      <c r="K2" s="3"/>
      <c r="L2" s="3"/>
      <c r="M2" s="29"/>
    </row>
    <row r="3" spans="1:13" x14ac:dyDescent="0.25">
      <c r="A3" s="1"/>
      <c r="B3" s="19"/>
      <c r="C3" s="31"/>
      <c r="D3" s="10" t="s">
        <v>1</v>
      </c>
      <c r="E3" s="10"/>
      <c r="F3" s="36" t="s">
        <v>234</v>
      </c>
      <c r="G3" s="10"/>
      <c r="H3" s="10"/>
      <c r="I3" s="4"/>
      <c r="J3" s="4"/>
      <c r="K3" s="4"/>
      <c r="L3" s="4"/>
      <c r="M3" s="66"/>
    </row>
    <row r="4" spans="1:13" x14ac:dyDescent="0.25">
      <c r="A4" s="1"/>
      <c r="B4" s="19"/>
      <c r="C4" s="31"/>
      <c r="D4" s="10" t="s">
        <v>2</v>
      </c>
      <c r="E4" s="10"/>
      <c r="F4" s="37" t="s">
        <v>234</v>
      </c>
      <c r="G4" s="11"/>
      <c r="H4" s="11"/>
      <c r="I4" s="6"/>
      <c r="J4" s="6"/>
      <c r="K4" s="46"/>
      <c r="L4" s="46"/>
      <c r="M4" s="67"/>
    </row>
    <row r="5" spans="1:13" x14ac:dyDescent="0.25">
      <c r="A5" s="1"/>
      <c r="B5" s="19"/>
      <c r="C5" s="31"/>
      <c r="D5" s="10" t="s">
        <v>3</v>
      </c>
      <c r="E5" s="10"/>
      <c r="F5" s="38" t="s">
        <v>5</v>
      </c>
      <c r="G5" s="12"/>
      <c r="H5" s="12"/>
      <c r="I5" s="5"/>
      <c r="J5" s="5"/>
      <c r="K5" s="46"/>
      <c r="L5" s="46"/>
      <c r="M5" s="67"/>
    </row>
    <row r="6" spans="1:13" x14ac:dyDescent="0.25">
      <c r="A6" s="1"/>
      <c r="B6" s="20"/>
      <c r="C6" s="32"/>
      <c r="D6" s="13"/>
      <c r="E6" s="13"/>
      <c r="F6" s="14"/>
      <c r="G6" s="12"/>
      <c r="H6" s="12"/>
      <c r="I6" s="5"/>
      <c r="J6" s="5"/>
      <c r="K6" s="46"/>
      <c r="L6" s="46"/>
      <c r="M6" s="67"/>
    </row>
    <row r="7" spans="1:13" x14ac:dyDescent="0.25">
      <c r="A7" s="1"/>
      <c r="B7" s="21"/>
      <c r="C7" s="33"/>
      <c r="D7" s="15"/>
      <c r="E7" s="15"/>
      <c r="F7" s="16"/>
      <c r="G7" s="15"/>
      <c r="H7" s="15"/>
      <c r="I7" s="7"/>
      <c r="J7" s="7"/>
      <c r="K7" s="7"/>
      <c r="L7" s="7"/>
      <c r="M7" s="67"/>
    </row>
    <row r="8" spans="1:13" ht="15.75" thickBot="1" x14ac:dyDescent="0.3">
      <c r="A8" s="1"/>
      <c r="B8" s="23"/>
      <c r="C8" s="34"/>
      <c r="D8" s="24"/>
      <c r="E8" s="24"/>
      <c r="F8" s="25"/>
      <c r="G8" s="15"/>
      <c r="H8" s="15"/>
      <c r="I8" s="7"/>
      <c r="J8" s="7"/>
      <c r="K8" s="7"/>
      <c r="L8" s="7"/>
      <c r="M8" s="67"/>
    </row>
    <row r="9" spans="1:13" ht="15.75" thickBot="1" x14ac:dyDescent="0.3">
      <c r="A9" s="1"/>
      <c r="B9" s="26" t="s">
        <v>4</v>
      </c>
      <c r="C9" s="26" t="s">
        <v>6</v>
      </c>
      <c r="D9" s="26" t="s">
        <v>14</v>
      </c>
      <c r="E9" s="26" t="s">
        <v>63</v>
      </c>
      <c r="F9" s="26" t="s">
        <v>114</v>
      </c>
      <c r="G9" s="26" t="s">
        <v>126</v>
      </c>
      <c r="H9" s="26" t="s">
        <v>171</v>
      </c>
      <c r="I9" s="26" t="s">
        <v>239</v>
      </c>
      <c r="J9" s="26" t="s">
        <v>257</v>
      </c>
      <c r="K9" s="26" t="s">
        <v>245</v>
      </c>
      <c r="L9" s="26" t="s">
        <v>261</v>
      </c>
      <c r="M9" s="26" t="s">
        <v>238</v>
      </c>
    </row>
    <row r="10" spans="1:13" s="45" customFormat="1" x14ac:dyDescent="0.25">
      <c r="A10" s="44"/>
      <c r="B10" s="39">
        <f>ROW(B10) - ROW($B$9)</f>
        <v>1</v>
      </c>
      <c r="C10" s="40" t="s">
        <v>7</v>
      </c>
      <c r="D10" s="47" t="s">
        <v>15</v>
      </c>
      <c r="E10" s="27" t="s">
        <v>64</v>
      </c>
      <c r="F10" s="27" t="s">
        <v>115</v>
      </c>
      <c r="G10" s="27" t="s">
        <v>127</v>
      </c>
      <c r="H10" s="27" t="s">
        <v>172</v>
      </c>
      <c r="I10" s="27" t="s">
        <v>190</v>
      </c>
      <c r="J10" s="27">
        <v>4</v>
      </c>
      <c r="K10" s="27">
        <f>J10*2</f>
        <v>8</v>
      </c>
      <c r="L10" s="68">
        <v>1.35</v>
      </c>
      <c r="M10" s="27"/>
    </row>
    <row r="11" spans="1:13" s="45" customFormat="1" x14ac:dyDescent="0.25">
      <c r="A11" s="44"/>
      <c r="B11" s="41">
        <f t="shared" ref="B11:B61" si="0">ROW(B11) - ROW($B$9)</f>
        <v>2</v>
      </c>
      <c r="C11" s="40" t="s">
        <v>7</v>
      </c>
      <c r="D11" s="48" t="s">
        <v>16</v>
      </c>
      <c r="E11" s="28" t="s">
        <v>65</v>
      </c>
      <c r="F11" s="28" t="s">
        <v>116</v>
      </c>
      <c r="G11" s="28" t="s">
        <v>128</v>
      </c>
      <c r="H11" s="28" t="s">
        <v>173</v>
      </c>
      <c r="I11" s="28" t="s">
        <v>191</v>
      </c>
      <c r="J11" s="28">
        <v>4</v>
      </c>
      <c r="K11" s="27">
        <f t="shared" ref="K11:K61" si="1">J11*2</f>
        <v>8</v>
      </c>
      <c r="L11" s="68">
        <v>1.3279999999999998</v>
      </c>
      <c r="M11" s="28"/>
    </row>
    <row r="12" spans="1:13" s="45" customFormat="1" x14ac:dyDescent="0.25">
      <c r="A12" s="44"/>
      <c r="B12" s="39">
        <f>ROW(B12) - ROW($B$9)</f>
        <v>3</v>
      </c>
      <c r="C12" s="42" t="s">
        <v>7</v>
      </c>
      <c r="D12" s="47" t="s">
        <v>17</v>
      </c>
      <c r="E12" s="27" t="s">
        <v>66</v>
      </c>
      <c r="F12" s="27" t="s">
        <v>116</v>
      </c>
      <c r="G12" s="27" t="s">
        <v>129</v>
      </c>
      <c r="H12" s="27" t="s">
        <v>174</v>
      </c>
      <c r="I12" s="27" t="s">
        <v>192</v>
      </c>
      <c r="J12" s="27">
        <v>1</v>
      </c>
      <c r="K12" s="27">
        <f t="shared" si="1"/>
        <v>2</v>
      </c>
      <c r="L12" s="68">
        <v>1.175</v>
      </c>
      <c r="M12" s="27"/>
    </row>
    <row r="13" spans="1:13" s="45" customFormat="1" x14ac:dyDescent="0.25">
      <c r="A13" s="44"/>
      <c r="B13" s="41">
        <f t="shared" si="0"/>
        <v>4</v>
      </c>
      <c r="C13" s="40" t="s">
        <v>7</v>
      </c>
      <c r="D13" s="48" t="s">
        <v>18</v>
      </c>
      <c r="E13" s="28" t="s">
        <v>67</v>
      </c>
      <c r="F13" s="28" t="s">
        <v>116</v>
      </c>
      <c r="G13" s="28" t="s">
        <v>240</v>
      </c>
      <c r="H13" s="28" t="s">
        <v>175</v>
      </c>
      <c r="I13" s="28" t="s">
        <v>193</v>
      </c>
      <c r="J13" s="28">
        <v>1</v>
      </c>
      <c r="K13" s="27">
        <f t="shared" si="1"/>
        <v>2</v>
      </c>
      <c r="L13" s="68">
        <v>1.05</v>
      </c>
      <c r="M13" s="28"/>
    </row>
    <row r="14" spans="1:13" s="45" customFormat="1" x14ac:dyDescent="0.25">
      <c r="A14" s="44"/>
      <c r="B14" s="39">
        <f>ROW(B14) - ROW($B$9)</f>
        <v>5</v>
      </c>
      <c r="C14" s="42" t="s">
        <v>7</v>
      </c>
      <c r="D14" s="47" t="s">
        <v>19</v>
      </c>
      <c r="E14" s="27" t="s">
        <v>68</v>
      </c>
      <c r="F14" s="27" t="s">
        <v>116</v>
      </c>
      <c r="G14" s="27" t="s">
        <v>130</v>
      </c>
      <c r="H14" s="27" t="s">
        <v>174</v>
      </c>
      <c r="I14" s="27" t="s">
        <v>194</v>
      </c>
      <c r="J14" s="27">
        <v>1</v>
      </c>
      <c r="K14" s="27">
        <f t="shared" si="1"/>
        <v>2</v>
      </c>
      <c r="L14" s="68">
        <v>1.1839999999999999</v>
      </c>
      <c r="M14" s="27"/>
    </row>
    <row r="15" spans="1:13" s="45" customFormat="1" x14ac:dyDescent="0.25">
      <c r="A15" s="44"/>
      <c r="B15" s="41">
        <f t="shared" si="0"/>
        <v>6</v>
      </c>
      <c r="C15" s="40" t="s">
        <v>7</v>
      </c>
      <c r="D15" s="48" t="s">
        <v>20</v>
      </c>
      <c r="E15" s="28" t="s">
        <v>69</v>
      </c>
      <c r="F15" s="28" t="s">
        <v>235</v>
      </c>
      <c r="G15" s="28" t="s">
        <v>131</v>
      </c>
      <c r="H15" s="28" t="s">
        <v>176</v>
      </c>
      <c r="I15" s="28" t="s">
        <v>195</v>
      </c>
      <c r="J15" s="28">
        <v>2</v>
      </c>
      <c r="K15" s="27">
        <f t="shared" si="1"/>
        <v>4</v>
      </c>
      <c r="L15" s="68">
        <v>1.3080000000000001</v>
      </c>
      <c r="M15" s="28"/>
    </row>
    <row r="16" spans="1:13" s="45" customFormat="1" x14ac:dyDescent="0.25">
      <c r="A16" s="44"/>
      <c r="B16" s="39">
        <f>ROW(B16) - ROW($B$9)</f>
        <v>7</v>
      </c>
      <c r="C16" s="40" t="s">
        <v>7</v>
      </c>
      <c r="D16" s="47" t="s">
        <v>21</v>
      </c>
      <c r="E16" s="27" t="s">
        <v>70</v>
      </c>
      <c r="F16" s="27" t="s">
        <v>116</v>
      </c>
      <c r="G16" s="27" t="s">
        <v>241</v>
      </c>
      <c r="H16" s="27" t="s">
        <v>175</v>
      </c>
      <c r="I16" s="27" t="s">
        <v>196</v>
      </c>
      <c r="J16" s="27">
        <v>1</v>
      </c>
      <c r="K16" s="27">
        <f t="shared" si="1"/>
        <v>2</v>
      </c>
      <c r="L16" s="68">
        <v>1.2</v>
      </c>
      <c r="M16" s="27"/>
    </row>
    <row r="17" spans="1:13" s="45" customFormat="1" ht="36" x14ac:dyDescent="0.25">
      <c r="A17" s="44"/>
      <c r="B17" s="41">
        <f t="shared" si="0"/>
        <v>8</v>
      </c>
      <c r="C17" s="40" t="s">
        <v>7</v>
      </c>
      <c r="D17" s="48" t="s">
        <v>22</v>
      </c>
      <c r="E17" s="28" t="s">
        <v>71</v>
      </c>
      <c r="F17" s="28" t="s">
        <v>117</v>
      </c>
      <c r="G17" s="28" t="s">
        <v>132</v>
      </c>
      <c r="H17" s="28" t="s">
        <v>177</v>
      </c>
      <c r="I17" s="28" t="s">
        <v>197</v>
      </c>
      <c r="J17" s="28">
        <v>1</v>
      </c>
      <c r="K17" s="27">
        <f t="shared" si="1"/>
        <v>2</v>
      </c>
      <c r="L17" s="68">
        <v>1.21</v>
      </c>
      <c r="M17" s="28"/>
    </row>
    <row r="18" spans="1:13" s="45" customFormat="1" x14ac:dyDescent="0.25">
      <c r="A18" s="44"/>
      <c r="B18" s="39">
        <f>ROW(B18) - ROW($B$9)</f>
        <v>9</v>
      </c>
      <c r="C18" s="40" t="s">
        <v>7</v>
      </c>
      <c r="D18" s="47" t="s">
        <v>23</v>
      </c>
      <c r="E18" s="27" t="s">
        <v>72</v>
      </c>
      <c r="F18" s="27" t="s">
        <v>117</v>
      </c>
      <c r="G18" s="27" t="s">
        <v>242</v>
      </c>
      <c r="H18" s="27" t="s">
        <v>178</v>
      </c>
      <c r="I18" s="27" t="s">
        <v>198</v>
      </c>
      <c r="J18" s="27">
        <v>1</v>
      </c>
      <c r="K18" s="27">
        <f t="shared" si="1"/>
        <v>2</v>
      </c>
      <c r="L18" s="68">
        <v>1.1299999999999999</v>
      </c>
      <c r="M18" s="27"/>
    </row>
    <row r="19" spans="1:13" s="45" customFormat="1" ht="36" x14ac:dyDescent="0.25">
      <c r="A19" s="44"/>
      <c r="B19" s="41">
        <f t="shared" si="0"/>
        <v>10</v>
      </c>
      <c r="C19" s="40" t="s">
        <v>7</v>
      </c>
      <c r="D19" s="48" t="s">
        <v>24</v>
      </c>
      <c r="E19" s="28" t="s">
        <v>73</v>
      </c>
      <c r="F19" s="28" t="s">
        <v>118</v>
      </c>
      <c r="G19" s="28" t="s">
        <v>133</v>
      </c>
      <c r="H19" s="28" t="s">
        <v>177</v>
      </c>
      <c r="I19" s="28" t="s">
        <v>190</v>
      </c>
      <c r="J19" s="28">
        <v>2</v>
      </c>
      <c r="K19" s="27">
        <f t="shared" si="1"/>
        <v>4</v>
      </c>
      <c r="L19" s="68">
        <v>2.8185000000000002</v>
      </c>
      <c r="M19" s="28"/>
    </row>
    <row r="20" spans="1:13" s="45" customFormat="1" ht="36" x14ac:dyDescent="0.25">
      <c r="A20" s="44"/>
      <c r="B20" s="39">
        <f>ROW(B20) - ROW($B$9)</f>
        <v>11</v>
      </c>
      <c r="C20" s="40" t="s">
        <v>7</v>
      </c>
      <c r="D20" s="47" t="s">
        <v>25</v>
      </c>
      <c r="E20" s="27" t="s">
        <v>74</v>
      </c>
      <c r="F20" s="27" t="s">
        <v>119</v>
      </c>
      <c r="G20" s="27" t="s">
        <v>134</v>
      </c>
      <c r="H20" s="27" t="s">
        <v>179</v>
      </c>
      <c r="I20" s="27" t="s">
        <v>199</v>
      </c>
      <c r="J20" s="27">
        <v>1</v>
      </c>
      <c r="K20" s="27">
        <f t="shared" si="1"/>
        <v>2</v>
      </c>
      <c r="L20" s="68">
        <v>1.395</v>
      </c>
      <c r="M20" s="27"/>
    </row>
    <row r="21" spans="1:13" s="45" customFormat="1" x14ac:dyDescent="0.25">
      <c r="A21" s="44"/>
      <c r="B21" s="41">
        <f t="shared" si="0"/>
        <v>12</v>
      </c>
      <c r="C21" s="40" t="s">
        <v>7</v>
      </c>
      <c r="D21" s="48" t="s">
        <v>26</v>
      </c>
      <c r="E21" s="28" t="s">
        <v>75</v>
      </c>
      <c r="F21" s="28" t="s">
        <v>118</v>
      </c>
      <c r="G21" s="28" t="s">
        <v>243</v>
      </c>
      <c r="H21" s="28" t="s">
        <v>175</v>
      </c>
      <c r="I21" s="28" t="s">
        <v>200</v>
      </c>
      <c r="J21" s="28">
        <v>1</v>
      </c>
      <c r="K21" s="27">
        <f t="shared" si="1"/>
        <v>2</v>
      </c>
      <c r="L21" s="68">
        <v>1.7045999999999999</v>
      </c>
      <c r="M21" s="28"/>
    </row>
    <row r="22" spans="1:13" s="45" customFormat="1" x14ac:dyDescent="0.25">
      <c r="A22" s="44"/>
      <c r="B22" s="39">
        <f>ROW(B22) - ROW($B$9)</f>
        <v>13</v>
      </c>
      <c r="C22" s="40" t="s">
        <v>7</v>
      </c>
      <c r="D22" s="47" t="s">
        <v>27</v>
      </c>
      <c r="E22" s="27" t="s">
        <v>76</v>
      </c>
      <c r="F22" s="27" t="s">
        <v>117</v>
      </c>
      <c r="G22" s="27" t="s">
        <v>244</v>
      </c>
      <c r="H22" s="27" t="s">
        <v>180</v>
      </c>
      <c r="I22" s="27" t="s">
        <v>201</v>
      </c>
      <c r="J22" s="27">
        <v>1</v>
      </c>
      <c r="K22" s="27">
        <f t="shared" si="1"/>
        <v>2</v>
      </c>
      <c r="L22" s="68">
        <v>1.0049999999999999</v>
      </c>
      <c r="M22" s="27"/>
    </row>
    <row r="23" spans="1:13" s="45" customFormat="1" x14ac:dyDescent="0.25">
      <c r="A23" s="44"/>
      <c r="B23" s="41">
        <f t="shared" si="0"/>
        <v>14</v>
      </c>
      <c r="C23" s="40" t="s">
        <v>7</v>
      </c>
      <c r="D23" s="48" t="s">
        <v>28</v>
      </c>
      <c r="E23" s="28" t="s">
        <v>77</v>
      </c>
      <c r="F23" s="28" t="s">
        <v>116</v>
      </c>
      <c r="G23" s="28" t="s">
        <v>135</v>
      </c>
      <c r="H23" s="28" t="s">
        <v>180</v>
      </c>
      <c r="I23" s="28" t="s">
        <v>202</v>
      </c>
      <c r="J23" s="28">
        <v>1</v>
      </c>
      <c r="K23" s="27">
        <f t="shared" si="1"/>
        <v>2</v>
      </c>
      <c r="L23" s="68">
        <v>1.4419999999999999</v>
      </c>
      <c r="M23" s="28"/>
    </row>
    <row r="24" spans="1:13" s="45" customFormat="1" ht="48" x14ac:dyDescent="0.25">
      <c r="A24" s="44"/>
      <c r="B24" s="39">
        <f>ROW(B24) - ROW($B$9)</f>
        <v>15</v>
      </c>
      <c r="C24" s="42" t="s">
        <v>8</v>
      </c>
      <c r="D24" s="47" t="s">
        <v>29</v>
      </c>
      <c r="E24" s="27" t="s">
        <v>78</v>
      </c>
      <c r="F24" s="27" t="s">
        <v>120</v>
      </c>
      <c r="G24" s="27" t="s">
        <v>136</v>
      </c>
      <c r="H24" s="27" t="s">
        <v>181</v>
      </c>
      <c r="I24" s="27" t="s">
        <v>236</v>
      </c>
      <c r="J24" s="27">
        <v>1</v>
      </c>
      <c r="K24" s="27">
        <f t="shared" si="1"/>
        <v>2</v>
      </c>
      <c r="L24" s="68">
        <v>1.1679999999999999</v>
      </c>
      <c r="M24" s="27"/>
    </row>
    <row r="25" spans="1:13" s="45" customFormat="1" ht="48" x14ac:dyDescent="0.25">
      <c r="A25" s="44"/>
      <c r="B25" s="41">
        <f t="shared" si="0"/>
        <v>16</v>
      </c>
      <c r="C25" s="40" t="s">
        <v>8</v>
      </c>
      <c r="D25" s="48" t="s">
        <v>30</v>
      </c>
      <c r="E25" s="28" t="s">
        <v>79</v>
      </c>
      <c r="F25" s="28" t="s">
        <v>121</v>
      </c>
      <c r="G25" s="28" t="s">
        <v>137</v>
      </c>
      <c r="H25" s="28" t="s">
        <v>182</v>
      </c>
      <c r="I25" s="28" t="s">
        <v>236</v>
      </c>
      <c r="J25" s="28">
        <v>1</v>
      </c>
      <c r="K25" s="27">
        <f t="shared" si="1"/>
        <v>2</v>
      </c>
      <c r="L25" s="68">
        <v>1.4550000000000001</v>
      </c>
      <c r="M25" s="28"/>
    </row>
    <row r="26" spans="1:13" s="45" customFormat="1" ht="48" x14ac:dyDescent="0.25">
      <c r="A26" s="44"/>
      <c r="B26" s="39">
        <f>ROW(B26) - ROW($B$9)</f>
        <v>17</v>
      </c>
      <c r="C26" s="42" t="s">
        <v>9</v>
      </c>
      <c r="D26" s="47" t="s">
        <v>31</v>
      </c>
      <c r="E26" s="27" t="s">
        <v>80</v>
      </c>
      <c r="F26" s="27" t="s">
        <v>235</v>
      </c>
      <c r="G26" s="27" t="s">
        <v>138</v>
      </c>
      <c r="H26" s="27" t="s">
        <v>183</v>
      </c>
      <c r="I26" s="27" t="s">
        <v>236</v>
      </c>
      <c r="J26" s="27">
        <v>1</v>
      </c>
      <c r="K26" s="27">
        <f t="shared" si="1"/>
        <v>2</v>
      </c>
      <c r="L26" s="68">
        <v>1.2825</v>
      </c>
      <c r="M26" s="27"/>
    </row>
    <row r="27" spans="1:13" s="45" customFormat="1" ht="36" x14ac:dyDescent="0.25">
      <c r="A27" s="44"/>
      <c r="B27" s="41">
        <f t="shared" si="0"/>
        <v>18</v>
      </c>
      <c r="C27" s="40" t="s">
        <v>11</v>
      </c>
      <c r="D27" s="48" t="s">
        <v>247</v>
      </c>
      <c r="E27" s="28" t="s">
        <v>248</v>
      </c>
      <c r="F27" s="28" t="s">
        <v>235</v>
      </c>
      <c r="G27" s="28" t="s">
        <v>249</v>
      </c>
      <c r="H27" s="28" t="s">
        <v>250</v>
      </c>
      <c r="I27" s="28" t="s">
        <v>203</v>
      </c>
      <c r="J27" s="28">
        <v>2</v>
      </c>
      <c r="K27" s="27">
        <f t="shared" si="1"/>
        <v>4</v>
      </c>
      <c r="L27" s="68">
        <v>2.2789999999999999</v>
      </c>
      <c r="M27" s="28"/>
    </row>
    <row r="28" spans="1:13" s="45" customFormat="1" ht="24" x14ac:dyDescent="0.25">
      <c r="A28" s="44"/>
      <c r="B28" s="39">
        <f>ROW(B28) - ROW($B$9)</f>
        <v>19</v>
      </c>
      <c r="C28" s="42" t="s">
        <v>10</v>
      </c>
      <c r="D28" s="47" t="s">
        <v>32</v>
      </c>
      <c r="E28" s="27" t="s">
        <v>82</v>
      </c>
      <c r="F28" s="27" t="s">
        <v>122</v>
      </c>
      <c r="G28" s="27" t="s">
        <v>140</v>
      </c>
      <c r="H28" s="27" t="s">
        <v>174</v>
      </c>
      <c r="I28" s="27" t="s">
        <v>204</v>
      </c>
      <c r="J28" s="27">
        <v>13</v>
      </c>
      <c r="K28" s="27">
        <f t="shared" si="1"/>
        <v>26</v>
      </c>
      <c r="L28" s="68">
        <v>1.6419999999999999</v>
      </c>
      <c r="M28" s="27"/>
    </row>
    <row r="29" spans="1:13" s="45" customFormat="1" ht="24" x14ac:dyDescent="0.25">
      <c r="A29" s="44"/>
      <c r="B29" s="41">
        <f t="shared" si="0"/>
        <v>20</v>
      </c>
      <c r="C29" s="40" t="s">
        <v>11</v>
      </c>
      <c r="D29" s="48" t="s">
        <v>251</v>
      </c>
      <c r="E29" s="28" t="s">
        <v>83</v>
      </c>
      <c r="F29" s="28" t="s">
        <v>235</v>
      </c>
      <c r="G29" s="28" t="s">
        <v>141</v>
      </c>
      <c r="H29" s="28" t="s">
        <v>185</v>
      </c>
      <c r="I29" s="28" t="s">
        <v>205</v>
      </c>
      <c r="J29" s="28">
        <v>1</v>
      </c>
      <c r="K29" s="27">
        <f t="shared" si="1"/>
        <v>2</v>
      </c>
      <c r="L29" s="68">
        <v>1.5049999999999999</v>
      </c>
      <c r="M29" s="28"/>
    </row>
    <row r="30" spans="1:13" s="45" customFormat="1" ht="24" x14ac:dyDescent="0.25">
      <c r="A30" s="44"/>
      <c r="B30" s="39">
        <f>ROW(B30) - ROW($B$9)</f>
        <v>21</v>
      </c>
      <c r="C30" s="42" t="s">
        <v>10</v>
      </c>
      <c r="D30" s="47" t="s">
        <v>33</v>
      </c>
      <c r="E30" s="27" t="s">
        <v>84</v>
      </c>
      <c r="F30" s="27" t="s">
        <v>122</v>
      </c>
      <c r="G30" s="27" t="s">
        <v>142</v>
      </c>
      <c r="H30" s="27" t="s">
        <v>174</v>
      </c>
      <c r="I30" s="27" t="s">
        <v>206</v>
      </c>
      <c r="J30" s="27">
        <v>4</v>
      </c>
      <c r="K30" s="27">
        <f t="shared" si="1"/>
        <v>8</v>
      </c>
      <c r="L30" s="68">
        <v>1.2</v>
      </c>
      <c r="M30" s="27"/>
    </row>
    <row r="31" spans="1:13" s="45" customFormat="1" ht="24" x14ac:dyDescent="0.25">
      <c r="A31" s="44"/>
      <c r="B31" s="41">
        <f t="shared" si="0"/>
        <v>22</v>
      </c>
      <c r="C31" s="40" t="s">
        <v>10</v>
      </c>
      <c r="D31" s="48" t="s">
        <v>34</v>
      </c>
      <c r="E31" s="28" t="s">
        <v>85</v>
      </c>
      <c r="F31" s="28" t="s">
        <v>122</v>
      </c>
      <c r="G31" s="28" t="s">
        <v>143</v>
      </c>
      <c r="H31" s="28" t="s">
        <v>174</v>
      </c>
      <c r="I31" s="28" t="s">
        <v>207</v>
      </c>
      <c r="J31" s="28">
        <v>2</v>
      </c>
      <c r="K31" s="27">
        <f t="shared" si="1"/>
        <v>4</v>
      </c>
      <c r="L31" s="68">
        <v>1.35</v>
      </c>
      <c r="M31" s="28"/>
    </row>
    <row r="32" spans="1:13" s="45" customFormat="1" ht="24" x14ac:dyDescent="0.25">
      <c r="A32" s="44"/>
      <c r="B32" s="39">
        <f>ROW(B32) - ROW($B$9)</f>
        <v>23</v>
      </c>
      <c r="C32" s="42" t="s">
        <v>10</v>
      </c>
      <c r="D32" s="47" t="s">
        <v>35</v>
      </c>
      <c r="E32" s="27" t="s">
        <v>86</v>
      </c>
      <c r="F32" s="27" t="s">
        <v>122</v>
      </c>
      <c r="G32" s="27" t="s">
        <v>144</v>
      </c>
      <c r="H32" s="27" t="s">
        <v>174</v>
      </c>
      <c r="I32" s="27" t="s">
        <v>208</v>
      </c>
      <c r="J32" s="27">
        <v>1</v>
      </c>
      <c r="K32" s="27">
        <f t="shared" si="1"/>
        <v>2</v>
      </c>
      <c r="L32" s="68">
        <v>1.3180000000000001</v>
      </c>
      <c r="M32" s="27"/>
    </row>
    <row r="33" spans="1:13" s="45" customFormat="1" ht="36" x14ac:dyDescent="0.25">
      <c r="A33" s="44"/>
      <c r="B33" s="39">
        <f>ROW(B33) - ROW($B$9)</f>
        <v>24</v>
      </c>
      <c r="C33" s="40" t="s">
        <v>11</v>
      </c>
      <c r="D33" s="48" t="s">
        <v>252</v>
      </c>
      <c r="E33" s="28" t="s">
        <v>253</v>
      </c>
      <c r="F33" s="28" t="s">
        <v>235</v>
      </c>
      <c r="G33" s="28" t="s">
        <v>254</v>
      </c>
      <c r="H33" s="28" t="s">
        <v>250</v>
      </c>
      <c r="I33" s="28" t="s">
        <v>205</v>
      </c>
      <c r="J33" s="28">
        <v>1</v>
      </c>
      <c r="K33" s="27">
        <f t="shared" si="1"/>
        <v>2</v>
      </c>
      <c r="L33" s="68">
        <v>2.4749999999999996</v>
      </c>
      <c r="M33" s="28"/>
    </row>
    <row r="34" spans="1:13" s="45" customFormat="1" ht="24" x14ac:dyDescent="0.25">
      <c r="A34" s="44"/>
      <c r="B34" s="41">
        <f t="shared" si="0"/>
        <v>25</v>
      </c>
      <c r="C34" s="40" t="s">
        <v>10</v>
      </c>
      <c r="D34" s="48" t="s">
        <v>36</v>
      </c>
      <c r="E34" s="28" t="s">
        <v>87</v>
      </c>
      <c r="F34" s="28" t="s">
        <v>122</v>
      </c>
      <c r="G34" s="28" t="s">
        <v>145</v>
      </c>
      <c r="H34" s="28" t="s">
        <v>174</v>
      </c>
      <c r="I34" s="28" t="s">
        <v>209</v>
      </c>
      <c r="J34" s="28">
        <v>2</v>
      </c>
      <c r="K34" s="27">
        <f t="shared" si="1"/>
        <v>4</v>
      </c>
      <c r="L34" s="68">
        <v>1.3420000000000001</v>
      </c>
      <c r="M34" s="27"/>
    </row>
    <row r="35" spans="1:13" s="45" customFormat="1" ht="24" x14ac:dyDescent="0.25">
      <c r="A35" s="44"/>
      <c r="B35" s="39">
        <f>ROW(B35) - ROW($B$9)</f>
        <v>26</v>
      </c>
      <c r="C35" s="42" t="s">
        <v>10</v>
      </c>
      <c r="D35" s="47" t="s">
        <v>37</v>
      </c>
      <c r="E35" s="27" t="s">
        <v>88</v>
      </c>
      <c r="F35" s="27" t="s">
        <v>122</v>
      </c>
      <c r="G35" s="27" t="s">
        <v>146</v>
      </c>
      <c r="H35" s="27" t="s">
        <v>174</v>
      </c>
      <c r="I35" s="27" t="s">
        <v>210</v>
      </c>
      <c r="J35" s="27">
        <v>1</v>
      </c>
      <c r="K35" s="27">
        <f t="shared" si="1"/>
        <v>2</v>
      </c>
      <c r="L35" s="68">
        <v>1.294</v>
      </c>
      <c r="M35" s="28"/>
    </row>
    <row r="36" spans="1:13" s="45" customFormat="1" ht="24" x14ac:dyDescent="0.25">
      <c r="A36" s="44"/>
      <c r="B36" s="41">
        <f t="shared" si="0"/>
        <v>27</v>
      </c>
      <c r="C36" s="40" t="s">
        <v>10</v>
      </c>
      <c r="D36" s="48" t="s">
        <v>38</v>
      </c>
      <c r="E36" s="28" t="s">
        <v>89</v>
      </c>
      <c r="F36" s="28" t="s">
        <v>122</v>
      </c>
      <c r="G36" s="28" t="s">
        <v>147</v>
      </c>
      <c r="H36" s="28" t="s">
        <v>186</v>
      </c>
      <c r="I36" s="28" t="s">
        <v>211</v>
      </c>
      <c r="J36" s="28">
        <v>2</v>
      </c>
      <c r="K36" s="27">
        <f t="shared" si="1"/>
        <v>4</v>
      </c>
      <c r="L36" s="68">
        <v>1.165</v>
      </c>
      <c r="M36" s="27"/>
    </row>
    <row r="37" spans="1:13" s="45" customFormat="1" ht="24" x14ac:dyDescent="0.25">
      <c r="A37" s="44"/>
      <c r="B37" s="39">
        <f>ROW(B37) - ROW($B$9)</f>
        <v>28</v>
      </c>
      <c r="C37" s="42" t="s">
        <v>10</v>
      </c>
      <c r="D37" s="47" t="s">
        <v>39</v>
      </c>
      <c r="E37" s="27" t="s">
        <v>90</v>
      </c>
      <c r="F37" s="27" t="s">
        <v>123</v>
      </c>
      <c r="G37" s="27" t="s">
        <v>148</v>
      </c>
      <c r="H37" s="27" t="s">
        <v>186</v>
      </c>
      <c r="I37" s="27" t="s">
        <v>212</v>
      </c>
      <c r="J37" s="27">
        <v>3</v>
      </c>
      <c r="K37" s="27">
        <f t="shared" si="1"/>
        <v>6</v>
      </c>
      <c r="L37" s="68">
        <v>1.18</v>
      </c>
      <c r="M37" s="28"/>
    </row>
    <row r="38" spans="1:13" s="45" customFormat="1" ht="24" x14ac:dyDescent="0.25">
      <c r="A38" s="44"/>
      <c r="B38" s="41">
        <f t="shared" si="0"/>
        <v>29</v>
      </c>
      <c r="C38" s="40" t="s">
        <v>10</v>
      </c>
      <c r="D38" s="48" t="s">
        <v>40</v>
      </c>
      <c r="E38" s="28" t="s">
        <v>91</v>
      </c>
      <c r="F38" s="28" t="s">
        <v>124</v>
      </c>
      <c r="G38" s="28" t="s">
        <v>149</v>
      </c>
      <c r="H38" s="28" t="s">
        <v>186</v>
      </c>
      <c r="I38" s="28" t="s">
        <v>213</v>
      </c>
      <c r="J38" s="28">
        <v>2</v>
      </c>
      <c r="K38" s="27">
        <f t="shared" si="1"/>
        <v>4</v>
      </c>
      <c r="L38" s="68">
        <v>1.252</v>
      </c>
      <c r="M38" s="27"/>
    </row>
    <row r="39" spans="1:13" s="45" customFormat="1" ht="36" x14ac:dyDescent="0.25">
      <c r="A39" s="44"/>
      <c r="B39" s="39">
        <f>ROW(B39) - ROW($B$9)</f>
        <v>30</v>
      </c>
      <c r="C39" s="42" t="s">
        <v>10</v>
      </c>
      <c r="D39" s="47" t="s">
        <v>41</v>
      </c>
      <c r="E39" s="27" t="s">
        <v>92</v>
      </c>
      <c r="F39" s="27" t="s">
        <v>122</v>
      </c>
      <c r="G39" s="27" t="s">
        <v>150</v>
      </c>
      <c r="H39" s="27" t="s">
        <v>186</v>
      </c>
      <c r="I39" s="27" t="s">
        <v>214</v>
      </c>
      <c r="J39" s="27">
        <v>3</v>
      </c>
      <c r="K39" s="27">
        <f t="shared" si="1"/>
        <v>6</v>
      </c>
      <c r="L39" s="68">
        <v>1.3220000000000001</v>
      </c>
      <c r="M39" s="28"/>
    </row>
    <row r="40" spans="1:13" s="45" customFormat="1" x14ac:dyDescent="0.25">
      <c r="A40" s="44"/>
      <c r="B40" s="41">
        <f t="shared" si="0"/>
        <v>31</v>
      </c>
      <c r="C40" s="40" t="s">
        <v>10</v>
      </c>
      <c r="D40" s="48" t="s">
        <v>42</v>
      </c>
      <c r="E40" s="28" t="s">
        <v>93</v>
      </c>
      <c r="F40" s="28" t="s">
        <v>122</v>
      </c>
      <c r="G40" s="28" t="s">
        <v>151</v>
      </c>
      <c r="H40" s="28" t="s">
        <v>174</v>
      </c>
      <c r="I40" s="28" t="s">
        <v>215</v>
      </c>
      <c r="J40" s="28">
        <v>2</v>
      </c>
      <c r="K40" s="27">
        <f t="shared" si="1"/>
        <v>4</v>
      </c>
      <c r="L40" s="68">
        <v>1.1600000000000001</v>
      </c>
      <c r="M40" s="27"/>
    </row>
    <row r="41" spans="1:13" s="45" customFormat="1" ht="24" x14ac:dyDescent="0.25">
      <c r="A41" s="44"/>
      <c r="B41" s="39">
        <f>ROW(B41) - ROW($B$9)</f>
        <v>32</v>
      </c>
      <c r="C41" s="42" t="s">
        <v>10</v>
      </c>
      <c r="D41" s="47" t="s">
        <v>43</v>
      </c>
      <c r="E41" s="27" t="s">
        <v>94</v>
      </c>
      <c r="F41" s="27" t="s">
        <v>122</v>
      </c>
      <c r="G41" s="27" t="s">
        <v>152</v>
      </c>
      <c r="H41" s="27" t="s">
        <v>174</v>
      </c>
      <c r="I41" s="27" t="s">
        <v>216</v>
      </c>
      <c r="J41" s="27">
        <v>3</v>
      </c>
      <c r="K41" s="27">
        <f t="shared" si="1"/>
        <v>6</v>
      </c>
      <c r="L41" s="68">
        <v>1.3460000000000001</v>
      </c>
      <c r="M41" s="28"/>
    </row>
    <row r="42" spans="1:13" s="45" customFormat="1" x14ac:dyDescent="0.25">
      <c r="A42" s="44"/>
      <c r="B42" s="41">
        <f t="shared" si="0"/>
        <v>33</v>
      </c>
      <c r="C42" s="40"/>
      <c r="D42" s="48" t="s">
        <v>44</v>
      </c>
      <c r="E42" s="28" t="s">
        <v>95</v>
      </c>
      <c r="F42" s="28" t="s">
        <v>124</v>
      </c>
      <c r="G42" s="28" t="s">
        <v>153</v>
      </c>
      <c r="H42" s="28" t="s">
        <v>174</v>
      </c>
      <c r="I42" s="28" t="s">
        <v>217</v>
      </c>
      <c r="J42" s="28">
        <v>3</v>
      </c>
      <c r="K42" s="27">
        <f t="shared" si="1"/>
        <v>6</v>
      </c>
      <c r="L42" s="68">
        <v>0.82</v>
      </c>
      <c r="M42" s="27"/>
    </row>
    <row r="43" spans="1:13" s="45" customFormat="1" x14ac:dyDescent="0.25">
      <c r="A43" s="44"/>
      <c r="B43" s="39">
        <f>ROW(B43) - ROW($B$9)</f>
        <v>34</v>
      </c>
      <c r="C43" s="42" t="s">
        <v>10</v>
      </c>
      <c r="D43" s="47" t="s">
        <v>45</v>
      </c>
      <c r="E43" s="27" t="s">
        <v>96</v>
      </c>
      <c r="F43" s="27" t="s">
        <v>122</v>
      </c>
      <c r="G43" s="27" t="s">
        <v>154</v>
      </c>
      <c r="H43" s="27" t="s">
        <v>174</v>
      </c>
      <c r="I43" s="27" t="s">
        <v>218</v>
      </c>
      <c r="J43" s="27">
        <v>2</v>
      </c>
      <c r="K43" s="27">
        <f t="shared" si="1"/>
        <v>4</v>
      </c>
      <c r="L43" s="68">
        <v>0.87</v>
      </c>
      <c r="M43" s="28"/>
    </row>
    <row r="44" spans="1:13" s="45" customFormat="1" ht="36" x14ac:dyDescent="0.25">
      <c r="A44" s="44"/>
      <c r="B44" s="41">
        <f t="shared" si="0"/>
        <v>35</v>
      </c>
      <c r="C44" s="40" t="s">
        <v>10</v>
      </c>
      <c r="D44" s="48" t="s">
        <v>46</v>
      </c>
      <c r="E44" s="28" t="s">
        <v>97</v>
      </c>
      <c r="F44" s="28" t="s">
        <v>122</v>
      </c>
      <c r="G44" s="28" t="s">
        <v>155</v>
      </c>
      <c r="H44" s="28" t="s">
        <v>186</v>
      </c>
      <c r="I44" s="28" t="s">
        <v>219</v>
      </c>
      <c r="J44" s="28">
        <v>3</v>
      </c>
      <c r="K44" s="27">
        <f t="shared" si="1"/>
        <v>6</v>
      </c>
      <c r="L44" s="68">
        <v>1.294</v>
      </c>
      <c r="M44" s="27"/>
    </row>
    <row r="45" spans="1:13" s="45" customFormat="1" ht="24" x14ac:dyDescent="0.25">
      <c r="A45" s="44"/>
      <c r="B45" s="39">
        <f>ROW(B45) - ROW($B$9)</f>
        <v>36</v>
      </c>
      <c r="C45" s="42" t="s">
        <v>10</v>
      </c>
      <c r="D45" s="47" t="s">
        <v>47</v>
      </c>
      <c r="E45" s="27" t="s">
        <v>98</v>
      </c>
      <c r="F45" s="27" t="s">
        <v>124</v>
      </c>
      <c r="G45" s="27" t="s">
        <v>156</v>
      </c>
      <c r="H45" s="27" t="s">
        <v>174</v>
      </c>
      <c r="I45" s="27" t="s">
        <v>220</v>
      </c>
      <c r="J45" s="27">
        <v>2</v>
      </c>
      <c r="K45" s="27">
        <f t="shared" si="1"/>
        <v>4</v>
      </c>
      <c r="L45" s="68">
        <v>1.248</v>
      </c>
      <c r="M45" s="28"/>
    </row>
    <row r="46" spans="1:13" s="45" customFormat="1" ht="36" x14ac:dyDescent="0.25">
      <c r="A46" s="44"/>
      <c r="B46" s="41">
        <f t="shared" si="0"/>
        <v>37</v>
      </c>
      <c r="C46" s="40" t="s">
        <v>10</v>
      </c>
      <c r="D46" s="48" t="s">
        <v>48</v>
      </c>
      <c r="E46" s="28" t="s">
        <v>99</v>
      </c>
      <c r="F46" s="28" t="s">
        <v>122</v>
      </c>
      <c r="G46" s="28" t="s">
        <v>157</v>
      </c>
      <c r="H46" s="28" t="s">
        <v>186</v>
      </c>
      <c r="I46" s="28" t="s">
        <v>221</v>
      </c>
      <c r="J46" s="28">
        <v>3</v>
      </c>
      <c r="K46" s="27">
        <f t="shared" si="1"/>
        <v>6</v>
      </c>
      <c r="L46" s="68">
        <v>1.3540000000000001</v>
      </c>
      <c r="M46" s="27"/>
    </row>
    <row r="47" spans="1:13" s="45" customFormat="1" ht="24" x14ac:dyDescent="0.25">
      <c r="A47" s="44"/>
      <c r="B47" s="39">
        <f>ROW(B47) - ROW($B$9)</f>
        <v>38</v>
      </c>
      <c r="C47" s="42" t="s">
        <v>10</v>
      </c>
      <c r="D47" s="47" t="s">
        <v>49</v>
      </c>
      <c r="E47" s="27" t="s">
        <v>100</v>
      </c>
      <c r="F47" s="27" t="s">
        <v>122</v>
      </c>
      <c r="G47" s="27" t="s">
        <v>158</v>
      </c>
      <c r="H47" s="27" t="s">
        <v>174</v>
      </c>
      <c r="I47" s="27" t="s">
        <v>222</v>
      </c>
      <c r="J47" s="27">
        <v>2</v>
      </c>
      <c r="K47" s="27">
        <f t="shared" si="1"/>
        <v>4</v>
      </c>
      <c r="L47" s="68">
        <v>1.306</v>
      </c>
      <c r="M47" s="28"/>
    </row>
    <row r="48" spans="1:13" s="45" customFormat="1" ht="48" x14ac:dyDescent="0.25">
      <c r="A48" s="44"/>
      <c r="B48" s="41">
        <f t="shared" si="0"/>
        <v>39</v>
      </c>
      <c r="C48" s="40" t="s">
        <v>10</v>
      </c>
      <c r="D48" s="48" t="s">
        <v>50</v>
      </c>
      <c r="E48" s="28" t="s">
        <v>101</v>
      </c>
      <c r="F48" s="28" t="s">
        <v>123</v>
      </c>
      <c r="G48" s="28" t="s">
        <v>159</v>
      </c>
      <c r="H48" s="28" t="s">
        <v>186</v>
      </c>
      <c r="I48" s="28" t="s">
        <v>223</v>
      </c>
      <c r="J48" s="28">
        <v>2</v>
      </c>
      <c r="K48" s="27">
        <f t="shared" si="1"/>
        <v>4</v>
      </c>
      <c r="L48" s="68">
        <v>1.3979999999999999</v>
      </c>
      <c r="M48" s="27"/>
    </row>
    <row r="49" spans="1:17" s="45" customFormat="1" ht="24" x14ac:dyDescent="0.25">
      <c r="A49" s="44"/>
      <c r="B49" s="39">
        <f>ROW(B49) - ROW($B$9)</f>
        <v>40</v>
      </c>
      <c r="C49" s="42" t="s">
        <v>10</v>
      </c>
      <c r="D49" s="47" t="s">
        <v>51</v>
      </c>
      <c r="E49" s="27" t="s">
        <v>102</v>
      </c>
      <c r="F49" s="27" t="s">
        <v>124</v>
      </c>
      <c r="G49" s="27" t="s">
        <v>160</v>
      </c>
      <c r="H49" s="27" t="s">
        <v>174</v>
      </c>
      <c r="I49" s="27" t="s">
        <v>224</v>
      </c>
      <c r="J49" s="27">
        <v>3</v>
      </c>
      <c r="K49" s="27">
        <f t="shared" si="1"/>
        <v>6</v>
      </c>
      <c r="L49" s="68">
        <v>1.266</v>
      </c>
      <c r="M49" s="28"/>
    </row>
    <row r="50" spans="1:17" s="45" customFormat="1" ht="24" x14ac:dyDescent="0.25">
      <c r="A50" s="44"/>
      <c r="B50" s="41">
        <f t="shared" si="0"/>
        <v>41</v>
      </c>
      <c r="C50" s="40" t="s">
        <v>10</v>
      </c>
      <c r="D50" s="48" t="s">
        <v>52</v>
      </c>
      <c r="E50" s="28" t="s">
        <v>103</v>
      </c>
      <c r="F50" s="28" t="s">
        <v>122</v>
      </c>
      <c r="G50" s="28" t="s">
        <v>161</v>
      </c>
      <c r="H50" s="28" t="s">
        <v>174</v>
      </c>
      <c r="I50" s="28" t="s">
        <v>225</v>
      </c>
      <c r="J50" s="28">
        <v>1</v>
      </c>
      <c r="K50" s="27">
        <f t="shared" si="1"/>
        <v>2</v>
      </c>
      <c r="L50" s="68">
        <v>1.3380000000000001</v>
      </c>
      <c r="M50" s="27"/>
    </row>
    <row r="51" spans="1:17" s="45" customFormat="1" ht="48" x14ac:dyDescent="0.25">
      <c r="A51" s="44"/>
      <c r="B51" s="39">
        <f>ROW(B51) - ROW($B$9)</f>
        <v>42</v>
      </c>
      <c r="C51" s="42" t="s">
        <v>10</v>
      </c>
      <c r="D51" s="47" t="s">
        <v>53</v>
      </c>
      <c r="E51" s="27" t="s">
        <v>104</v>
      </c>
      <c r="F51" s="27" t="s">
        <v>123</v>
      </c>
      <c r="G51" s="27" t="s">
        <v>162</v>
      </c>
      <c r="H51" s="27" t="s">
        <v>187</v>
      </c>
      <c r="I51" s="27" t="s">
        <v>226</v>
      </c>
      <c r="J51" s="27">
        <v>1</v>
      </c>
      <c r="K51" s="27">
        <f t="shared" si="1"/>
        <v>2</v>
      </c>
      <c r="L51" s="68">
        <v>0.94</v>
      </c>
      <c r="M51" s="28"/>
    </row>
    <row r="52" spans="1:17" s="45" customFormat="1" ht="24" x14ac:dyDescent="0.25">
      <c r="A52" s="44"/>
      <c r="B52" s="41">
        <f t="shared" si="0"/>
        <v>43</v>
      </c>
      <c r="C52" s="40" t="s">
        <v>10</v>
      </c>
      <c r="D52" s="48" t="s">
        <v>54</v>
      </c>
      <c r="E52" s="28" t="s">
        <v>105</v>
      </c>
      <c r="F52" s="28" t="s">
        <v>123</v>
      </c>
      <c r="G52" s="28" t="s">
        <v>163</v>
      </c>
      <c r="H52" s="28" t="s">
        <v>174</v>
      </c>
      <c r="I52" s="28" t="s">
        <v>227</v>
      </c>
      <c r="J52" s="28">
        <v>1</v>
      </c>
      <c r="K52" s="27">
        <f t="shared" si="1"/>
        <v>2</v>
      </c>
      <c r="L52" s="68">
        <v>1.522</v>
      </c>
      <c r="M52" s="27"/>
    </row>
    <row r="53" spans="1:17" s="45" customFormat="1" ht="48" x14ac:dyDescent="0.25">
      <c r="A53" s="44"/>
      <c r="B53" s="39">
        <f>ROW(B53) - ROW($B$9)</f>
        <v>44</v>
      </c>
      <c r="C53" s="42" t="s">
        <v>10</v>
      </c>
      <c r="D53" s="47" t="s">
        <v>55</v>
      </c>
      <c r="E53" s="27" t="s">
        <v>106</v>
      </c>
      <c r="F53" s="27" t="s">
        <v>124</v>
      </c>
      <c r="G53" s="27" t="s">
        <v>164</v>
      </c>
      <c r="H53" s="27" t="s">
        <v>186</v>
      </c>
      <c r="I53" s="27" t="s">
        <v>228</v>
      </c>
      <c r="J53" s="27">
        <v>1</v>
      </c>
      <c r="K53" s="27">
        <f t="shared" si="1"/>
        <v>2</v>
      </c>
      <c r="L53" s="68">
        <v>1.1839999999999999</v>
      </c>
      <c r="M53" s="28"/>
    </row>
    <row r="54" spans="1:17" s="45" customFormat="1" ht="48" x14ac:dyDescent="0.25">
      <c r="A54" s="44"/>
      <c r="B54" s="41">
        <f t="shared" si="0"/>
        <v>45</v>
      </c>
      <c r="C54" s="40" t="s">
        <v>10</v>
      </c>
      <c r="D54" s="28" t="s">
        <v>56</v>
      </c>
      <c r="E54" s="28" t="s">
        <v>107</v>
      </c>
      <c r="F54" s="28" t="s">
        <v>123</v>
      </c>
      <c r="G54" s="28" t="s">
        <v>165</v>
      </c>
      <c r="H54" s="28" t="s">
        <v>186</v>
      </c>
      <c r="I54" s="28" t="s">
        <v>229</v>
      </c>
      <c r="J54" s="28">
        <v>1</v>
      </c>
      <c r="K54" s="27">
        <f t="shared" si="1"/>
        <v>2</v>
      </c>
      <c r="L54" s="68">
        <v>1.3740000000000001</v>
      </c>
      <c r="M54" s="27"/>
    </row>
    <row r="55" spans="1:17" s="45" customFormat="1" ht="24" x14ac:dyDescent="0.25">
      <c r="A55" s="44"/>
      <c r="B55" s="39">
        <f>ROW(B55) - ROW($B$9)</f>
        <v>46</v>
      </c>
      <c r="C55" s="42" t="s">
        <v>10</v>
      </c>
      <c r="D55" s="27" t="s">
        <v>57</v>
      </c>
      <c r="E55" s="27" t="s">
        <v>108</v>
      </c>
      <c r="F55" s="27" t="s">
        <v>124</v>
      </c>
      <c r="G55" s="27" t="s">
        <v>166</v>
      </c>
      <c r="H55" s="27" t="s">
        <v>174</v>
      </c>
      <c r="I55" s="27" t="s">
        <v>230</v>
      </c>
      <c r="J55" s="27">
        <v>1</v>
      </c>
      <c r="K55" s="27">
        <f t="shared" si="1"/>
        <v>2</v>
      </c>
      <c r="L55" s="68">
        <v>1.254</v>
      </c>
      <c r="M55" s="28"/>
    </row>
    <row r="56" spans="1:17" s="45" customFormat="1" ht="48" x14ac:dyDescent="0.25">
      <c r="A56" s="44"/>
      <c r="B56" s="41">
        <f t="shared" si="0"/>
        <v>47</v>
      </c>
      <c r="C56" s="40" t="s">
        <v>10</v>
      </c>
      <c r="D56" s="28" t="s">
        <v>58</v>
      </c>
      <c r="E56" s="28" t="s">
        <v>109</v>
      </c>
      <c r="F56" s="28" t="s">
        <v>122</v>
      </c>
      <c r="G56" s="28" t="s">
        <v>167</v>
      </c>
      <c r="H56" s="28" t="s">
        <v>186</v>
      </c>
      <c r="I56" s="28" t="s">
        <v>231</v>
      </c>
      <c r="J56" s="28">
        <v>1</v>
      </c>
      <c r="K56" s="27">
        <f t="shared" si="1"/>
        <v>2</v>
      </c>
      <c r="L56" s="68">
        <v>1.224</v>
      </c>
      <c r="M56" s="27"/>
    </row>
    <row r="57" spans="1:17" s="45" customFormat="1" ht="24" x14ac:dyDescent="0.25">
      <c r="A57" s="44"/>
      <c r="B57" s="41">
        <f t="shared" si="0"/>
        <v>48</v>
      </c>
      <c r="C57" s="40" t="s">
        <v>11</v>
      </c>
      <c r="D57" s="28" t="s">
        <v>255</v>
      </c>
      <c r="E57" s="28" t="s">
        <v>81</v>
      </c>
      <c r="F57" s="28" t="s">
        <v>235</v>
      </c>
      <c r="G57" s="28" t="s">
        <v>139</v>
      </c>
      <c r="H57" s="28" t="s">
        <v>184</v>
      </c>
      <c r="I57" s="28" t="s">
        <v>203</v>
      </c>
      <c r="J57" s="28">
        <v>1</v>
      </c>
      <c r="K57" s="27">
        <f t="shared" si="1"/>
        <v>2</v>
      </c>
      <c r="L57" s="68">
        <v>1.47</v>
      </c>
      <c r="M57" s="28"/>
    </row>
    <row r="58" spans="1:17" s="45" customFormat="1" ht="24" x14ac:dyDescent="0.25">
      <c r="A58" s="44"/>
      <c r="B58" s="39">
        <f>ROW(B58) - ROW($B$9)</f>
        <v>49</v>
      </c>
      <c r="C58" s="42" t="s">
        <v>10</v>
      </c>
      <c r="D58" s="27" t="s">
        <v>59</v>
      </c>
      <c r="E58" s="27" t="s">
        <v>110</v>
      </c>
      <c r="F58" s="27" t="s">
        <v>122</v>
      </c>
      <c r="G58" s="27" t="s">
        <v>168</v>
      </c>
      <c r="H58" s="27" t="s">
        <v>174</v>
      </c>
      <c r="I58" s="27" t="s">
        <v>232</v>
      </c>
      <c r="J58" s="27">
        <v>2</v>
      </c>
      <c r="K58" s="27">
        <f t="shared" si="1"/>
        <v>4</v>
      </c>
      <c r="L58" s="68">
        <v>1.258</v>
      </c>
      <c r="M58" s="27"/>
    </row>
    <row r="59" spans="1:17" s="45" customFormat="1" x14ac:dyDescent="0.25">
      <c r="A59" s="44"/>
      <c r="B59" s="41">
        <f t="shared" si="0"/>
        <v>50</v>
      </c>
      <c r="C59" s="40" t="s">
        <v>12</v>
      </c>
      <c r="D59" s="43" t="s">
        <v>60</v>
      </c>
      <c r="E59" s="43" t="s">
        <v>111</v>
      </c>
      <c r="F59" s="43" t="s">
        <v>235</v>
      </c>
      <c r="G59" s="43" t="s">
        <v>12</v>
      </c>
      <c r="H59" s="43" t="s">
        <v>236</v>
      </c>
      <c r="I59" s="43" t="s">
        <v>236</v>
      </c>
      <c r="J59" s="43">
        <v>2</v>
      </c>
      <c r="K59" s="27">
        <f t="shared" si="1"/>
        <v>4</v>
      </c>
      <c r="L59" s="68" t="s">
        <v>236</v>
      </c>
      <c r="M59" s="28"/>
    </row>
    <row r="60" spans="1:17" ht="48" x14ac:dyDescent="0.25">
      <c r="A60" s="1"/>
      <c r="B60" s="39">
        <f>ROW(B60) - ROW($B$9)</f>
        <v>51</v>
      </c>
      <c r="C60" s="42" t="s">
        <v>13</v>
      </c>
      <c r="D60" s="27" t="s">
        <v>61</v>
      </c>
      <c r="E60" s="27" t="s">
        <v>112</v>
      </c>
      <c r="F60" s="27" t="s">
        <v>235</v>
      </c>
      <c r="G60" s="27" t="s">
        <v>169</v>
      </c>
      <c r="H60" s="27" t="s">
        <v>188</v>
      </c>
      <c r="I60" s="27" t="s">
        <v>236</v>
      </c>
      <c r="J60" s="27">
        <v>9</v>
      </c>
      <c r="K60" s="27">
        <f t="shared" si="1"/>
        <v>18</v>
      </c>
      <c r="L60" s="68">
        <v>11.092000000000001</v>
      </c>
      <c r="M60" s="28"/>
      <c r="Q60" s="45"/>
    </row>
    <row r="61" spans="1:17" ht="24.75" thickBot="1" x14ac:dyDescent="0.3">
      <c r="A61" s="1"/>
      <c r="B61" s="41">
        <f t="shared" si="0"/>
        <v>52</v>
      </c>
      <c r="C61" s="40" t="s">
        <v>237</v>
      </c>
      <c r="D61" s="28" t="s">
        <v>62</v>
      </c>
      <c r="E61" s="28" t="s">
        <v>113</v>
      </c>
      <c r="F61" s="28" t="s">
        <v>125</v>
      </c>
      <c r="G61" s="28" t="s">
        <v>170</v>
      </c>
      <c r="H61" s="28" t="s">
        <v>189</v>
      </c>
      <c r="I61" s="28" t="s">
        <v>236</v>
      </c>
      <c r="J61" s="28">
        <v>3</v>
      </c>
      <c r="K61" s="27">
        <f t="shared" si="1"/>
        <v>6</v>
      </c>
      <c r="L61" s="68">
        <v>1.889</v>
      </c>
      <c r="M61" s="28"/>
      <c r="Q61" s="45"/>
    </row>
    <row r="62" spans="1:17" ht="19.5" thickBot="1" x14ac:dyDescent="0.3">
      <c r="B62" s="58"/>
      <c r="C62" s="59"/>
      <c r="D62" s="60"/>
      <c r="E62" s="61"/>
      <c r="F62" s="62"/>
      <c r="G62" s="63"/>
      <c r="H62" s="62"/>
      <c r="I62" s="72" t="s">
        <v>259</v>
      </c>
      <c r="J62" s="73"/>
      <c r="K62" s="73"/>
      <c r="L62" s="74">
        <f>SUM(L10:L61)</f>
        <v>79.136599999999973</v>
      </c>
      <c r="M62" s="63"/>
      <c r="Q62" s="45"/>
    </row>
    <row r="63" spans="1:17" ht="19.5" thickBot="1" x14ac:dyDescent="0.3">
      <c r="I63" s="72" t="s">
        <v>260</v>
      </c>
      <c r="J63" s="73"/>
      <c r="K63" s="73"/>
      <c r="L63" s="75">
        <f>L62/2</f>
        <v>39.568299999999986</v>
      </c>
    </row>
  </sheetData>
  <mergeCells count="4">
    <mergeCell ref="I1:M1"/>
    <mergeCell ref="M3:M8"/>
    <mergeCell ref="I62:K62"/>
    <mergeCell ref="I63:K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workbookViewId="0">
      <selection activeCell="G68" sqref="G68"/>
    </sheetView>
  </sheetViews>
  <sheetFormatPr defaultRowHeight="15" x14ac:dyDescent="0.25"/>
  <cols>
    <col min="2" max="2" width="3" bestFit="1" customWidth="1"/>
    <col min="3" max="3" width="16.140625" customWidth="1"/>
    <col min="4" max="4" width="17.5703125" customWidth="1"/>
    <col min="5" max="5" width="25.140625" customWidth="1"/>
    <col min="6" max="6" width="12.7109375" customWidth="1"/>
    <col min="7" max="7" width="27.140625" customWidth="1"/>
    <col min="8" max="8" width="17" customWidth="1"/>
    <col min="9" max="9" width="6.140625" bestFit="1" customWidth="1"/>
    <col min="10" max="10" width="18" bestFit="1" customWidth="1"/>
    <col min="11" max="11" width="18.28515625" bestFit="1" customWidth="1"/>
    <col min="12" max="12" width="18.28515625" customWidth="1"/>
    <col min="13" max="13" width="29.140625" customWidth="1"/>
  </cols>
  <sheetData>
    <row r="1" spans="1:13" ht="15.75" thickBot="1" x14ac:dyDescent="0.3">
      <c r="A1" s="1"/>
      <c r="B1" s="17"/>
      <c r="C1" s="17"/>
      <c r="D1" s="2"/>
      <c r="E1" s="2"/>
      <c r="F1" s="2"/>
      <c r="G1" s="2"/>
      <c r="H1" s="2"/>
      <c r="I1" s="65"/>
      <c r="J1" s="65"/>
      <c r="K1" s="65"/>
      <c r="L1" s="65"/>
      <c r="M1" s="65"/>
    </row>
    <row r="2" spans="1:13" ht="32.25" thickBot="1" x14ac:dyDescent="0.3">
      <c r="A2" s="1"/>
      <c r="B2" s="18"/>
      <c r="C2" s="30"/>
      <c r="D2" s="8" t="s">
        <v>0</v>
      </c>
      <c r="E2" s="8"/>
      <c r="F2" s="35" t="s">
        <v>233</v>
      </c>
      <c r="G2" s="9"/>
      <c r="H2" s="9"/>
      <c r="I2" s="3"/>
      <c r="J2" s="3"/>
      <c r="K2" s="3"/>
      <c r="L2" s="3"/>
      <c r="M2" s="29"/>
    </row>
    <row r="3" spans="1:13" x14ac:dyDescent="0.25">
      <c r="A3" s="1"/>
      <c r="B3" s="19"/>
      <c r="C3" s="31"/>
      <c r="D3" s="10" t="s">
        <v>1</v>
      </c>
      <c r="E3" s="10"/>
      <c r="F3" s="36" t="s">
        <v>234</v>
      </c>
      <c r="G3" s="10"/>
      <c r="H3" s="10"/>
      <c r="I3" s="4"/>
      <c r="J3" s="4"/>
      <c r="K3" s="4"/>
      <c r="L3" s="4"/>
      <c r="M3" s="66"/>
    </row>
    <row r="4" spans="1:13" x14ac:dyDescent="0.25">
      <c r="A4" s="1"/>
      <c r="B4" s="19"/>
      <c r="C4" s="31"/>
      <c r="D4" s="10" t="s">
        <v>2</v>
      </c>
      <c r="E4" s="10"/>
      <c r="F4" s="37" t="s">
        <v>234</v>
      </c>
      <c r="G4" s="11"/>
      <c r="H4" s="11"/>
      <c r="I4" s="6"/>
      <c r="J4" s="6"/>
      <c r="K4" s="46"/>
      <c r="L4" s="46"/>
      <c r="M4" s="67"/>
    </row>
    <row r="5" spans="1:13" x14ac:dyDescent="0.25">
      <c r="A5" s="1"/>
      <c r="B5" s="19"/>
      <c r="C5" s="31"/>
      <c r="D5" s="10" t="s">
        <v>3</v>
      </c>
      <c r="E5" s="10"/>
      <c r="F5" s="38" t="s">
        <v>5</v>
      </c>
      <c r="G5" s="12"/>
      <c r="H5" s="12"/>
      <c r="I5" s="5"/>
      <c r="J5" s="5"/>
      <c r="K5" s="46"/>
      <c r="L5" s="46"/>
      <c r="M5" s="67"/>
    </row>
    <row r="6" spans="1:13" x14ac:dyDescent="0.25">
      <c r="A6" s="1"/>
      <c r="B6" s="20"/>
      <c r="C6" s="32"/>
      <c r="D6" s="13"/>
      <c r="E6" s="13"/>
      <c r="F6" s="14"/>
      <c r="G6" s="12"/>
      <c r="H6" s="12"/>
      <c r="I6" s="5"/>
      <c r="J6" s="5"/>
      <c r="K6" s="46"/>
      <c r="L6" s="46"/>
      <c r="M6" s="67"/>
    </row>
    <row r="7" spans="1:13" x14ac:dyDescent="0.25">
      <c r="A7" s="1"/>
      <c r="B7" s="21"/>
      <c r="C7" s="33"/>
      <c r="D7" s="15"/>
      <c r="E7" s="15"/>
      <c r="F7" s="16"/>
      <c r="G7" s="15"/>
      <c r="H7" s="15"/>
      <c r="I7" s="7"/>
      <c r="J7" s="7"/>
      <c r="K7" s="7"/>
      <c r="L7" s="7"/>
      <c r="M7" s="67"/>
    </row>
    <row r="8" spans="1:13" ht="15.75" thickBot="1" x14ac:dyDescent="0.3">
      <c r="A8" s="1"/>
      <c r="B8" s="23"/>
      <c r="C8" s="34"/>
      <c r="D8" s="24"/>
      <c r="E8" s="24"/>
      <c r="F8" s="25"/>
      <c r="G8" s="15"/>
      <c r="H8" s="15"/>
      <c r="I8" s="7"/>
      <c r="J8" s="7"/>
      <c r="K8" s="7"/>
      <c r="L8" s="7"/>
      <c r="M8" s="67"/>
    </row>
    <row r="9" spans="1:13" ht="15.75" thickBot="1" x14ac:dyDescent="0.3">
      <c r="A9" s="1"/>
      <c r="B9" s="26" t="s">
        <v>4</v>
      </c>
      <c r="C9" s="26" t="s">
        <v>6</v>
      </c>
      <c r="D9" s="26" t="s">
        <v>14</v>
      </c>
      <c r="E9" s="26" t="s">
        <v>63</v>
      </c>
      <c r="F9" s="26" t="s">
        <v>114</v>
      </c>
      <c r="G9" s="26" t="s">
        <v>126</v>
      </c>
      <c r="H9" s="26" t="s">
        <v>171</v>
      </c>
      <c r="I9" s="26" t="s">
        <v>239</v>
      </c>
      <c r="J9" s="26" t="s">
        <v>257</v>
      </c>
      <c r="K9" s="26" t="s">
        <v>246</v>
      </c>
      <c r="L9" s="26" t="s">
        <v>258</v>
      </c>
      <c r="M9" s="26" t="s">
        <v>238</v>
      </c>
    </row>
    <row r="10" spans="1:13" s="45" customFormat="1" x14ac:dyDescent="0.25">
      <c r="A10" s="44"/>
      <c r="B10" s="39">
        <f>ROW(B10) - ROW($B$9)</f>
        <v>1</v>
      </c>
      <c r="C10" s="40" t="s">
        <v>7</v>
      </c>
      <c r="D10" s="47" t="s">
        <v>15</v>
      </c>
      <c r="E10" s="27" t="s">
        <v>64</v>
      </c>
      <c r="F10" s="27" t="s">
        <v>115</v>
      </c>
      <c r="G10" s="27" t="s">
        <v>127</v>
      </c>
      <c r="H10" s="27" t="s">
        <v>172</v>
      </c>
      <c r="I10" s="27" t="s">
        <v>190</v>
      </c>
      <c r="J10" s="27">
        <v>4</v>
      </c>
      <c r="K10" s="27">
        <f>J10*5</f>
        <v>20</v>
      </c>
      <c r="L10" s="68">
        <v>1.52</v>
      </c>
      <c r="M10" s="27"/>
    </row>
    <row r="11" spans="1:13" s="45" customFormat="1" x14ac:dyDescent="0.25">
      <c r="A11" s="44"/>
      <c r="B11" s="41">
        <f t="shared" ref="B11:B61" si="0">ROW(B11) - ROW($B$9)</f>
        <v>2</v>
      </c>
      <c r="C11" s="40" t="s">
        <v>7</v>
      </c>
      <c r="D11" s="48" t="s">
        <v>16</v>
      </c>
      <c r="E11" s="28" t="s">
        <v>65</v>
      </c>
      <c r="F11" s="28" t="s">
        <v>116</v>
      </c>
      <c r="G11" s="28" t="s">
        <v>128</v>
      </c>
      <c r="H11" s="28" t="s">
        <v>173</v>
      </c>
      <c r="I11" s="28" t="s">
        <v>191</v>
      </c>
      <c r="J11" s="28">
        <v>4</v>
      </c>
      <c r="K11" s="28">
        <f t="shared" ref="K11" si="1">J11*5</f>
        <v>20</v>
      </c>
      <c r="L11" s="69">
        <v>2.0760000000000001</v>
      </c>
      <c r="M11" s="28"/>
    </row>
    <row r="12" spans="1:13" s="45" customFormat="1" x14ac:dyDescent="0.25">
      <c r="A12" s="44"/>
      <c r="B12" s="39">
        <f>ROW(B12) - ROW($B$9)</f>
        <v>3</v>
      </c>
      <c r="C12" s="42" t="s">
        <v>7</v>
      </c>
      <c r="D12" s="47" t="s">
        <v>17</v>
      </c>
      <c r="E12" s="27" t="s">
        <v>66</v>
      </c>
      <c r="F12" s="27" t="s">
        <v>116</v>
      </c>
      <c r="G12" s="27" t="s">
        <v>129</v>
      </c>
      <c r="H12" s="27" t="s">
        <v>174</v>
      </c>
      <c r="I12" s="27" t="s">
        <v>192</v>
      </c>
      <c r="J12" s="27">
        <v>1</v>
      </c>
      <c r="K12" s="27">
        <f>J12*5</f>
        <v>5</v>
      </c>
      <c r="L12" s="68">
        <v>1.3450000000000002</v>
      </c>
      <c r="M12" s="27"/>
    </row>
    <row r="13" spans="1:13" s="45" customFormat="1" x14ac:dyDescent="0.25">
      <c r="A13" s="44"/>
      <c r="B13" s="41">
        <f t="shared" si="0"/>
        <v>4</v>
      </c>
      <c r="C13" s="40" t="s">
        <v>7</v>
      </c>
      <c r="D13" s="48" t="s">
        <v>18</v>
      </c>
      <c r="E13" s="28" t="s">
        <v>67</v>
      </c>
      <c r="F13" s="28" t="s">
        <v>116</v>
      </c>
      <c r="G13" s="28" t="s">
        <v>240</v>
      </c>
      <c r="H13" s="28" t="s">
        <v>175</v>
      </c>
      <c r="I13" s="28" t="s">
        <v>193</v>
      </c>
      <c r="J13" s="28">
        <v>1</v>
      </c>
      <c r="K13" s="28">
        <f t="shared" ref="K13" si="2">J13*5</f>
        <v>5</v>
      </c>
      <c r="L13" s="69">
        <v>1.22</v>
      </c>
      <c r="M13" s="28"/>
    </row>
    <row r="14" spans="1:13" s="45" customFormat="1" ht="24" x14ac:dyDescent="0.25">
      <c r="A14" s="44"/>
      <c r="B14" s="39">
        <f>ROW(B14) - ROW($B$9)</f>
        <v>5</v>
      </c>
      <c r="C14" s="42" t="s">
        <v>7</v>
      </c>
      <c r="D14" s="47" t="s">
        <v>19</v>
      </c>
      <c r="E14" s="27" t="s">
        <v>68</v>
      </c>
      <c r="F14" s="27" t="s">
        <v>116</v>
      </c>
      <c r="G14" s="27" t="s">
        <v>130</v>
      </c>
      <c r="H14" s="27" t="s">
        <v>174</v>
      </c>
      <c r="I14" s="27" t="s">
        <v>194</v>
      </c>
      <c r="J14" s="27">
        <v>1</v>
      </c>
      <c r="K14" s="27">
        <f>J14*5</f>
        <v>5</v>
      </c>
      <c r="L14" s="68">
        <v>1.3540000000000001</v>
      </c>
      <c r="M14" s="27"/>
    </row>
    <row r="15" spans="1:13" s="45" customFormat="1" x14ac:dyDescent="0.25">
      <c r="A15" s="44"/>
      <c r="B15" s="41">
        <f t="shared" si="0"/>
        <v>6</v>
      </c>
      <c r="C15" s="40" t="s">
        <v>7</v>
      </c>
      <c r="D15" s="48" t="s">
        <v>20</v>
      </c>
      <c r="E15" s="28" t="s">
        <v>69</v>
      </c>
      <c r="F15" s="28" t="s">
        <v>235</v>
      </c>
      <c r="G15" s="28" t="s">
        <v>131</v>
      </c>
      <c r="H15" s="28" t="s">
        <v>176</v>
      </c>
      <c r="I15" s="28" t="s">
        <v>195</v>
      </c>
      <c r="J15" s="28">
        <v>2</v>
      </c>
      <c r="K15" s="28">
        <f t="shared" ref="K15" si="3">J15*5</f>
        <v>10</v>
      </c>
      <c r="L15" s="69">
        <v>1.4780000000000002</v>
      </c>
      <c r="M15" s="28"/>
    </row>
    <row r="16" spans="1:13" s="45" customFormat="1" x14ac:dyDescent="0.25">
      <c r="A16" s="44"/>
      <c r="B16" s="39">
        <f>ROW(B16) - ROW($B$9)</f>
        <v>7</v>
      </c>
      <c r="C16" s="40" t="s">
        <v>7</v>
      </c>
      <c r="D16" s="47" t="s">
        <v>21</v>
      </c>
      <c r="E16" s="27" t="s">
        <v>70</v>
      </c>
      <c r="F16" s="27" t="s">
        <v>116</v>
      </c>
      <c r="G16" s="27" t="s">
        <v>241</v>
      </c>
      <c r="H16" s="27" t="s">
        <v>175</v>
      </c>
      <c r="I16" s="27" t="s">
        <v>196</v>
      </c>
      <c r="J16" s="27">
        <v>1</v>
      </c>
      <c r="K16" s="27">
        <f>J16*5</f>
        <v>5</v>
      </c>
      <c r="L16" s="68">
        <v>1.37</v>
      </c>
      <c r="M16" s="27"/>
    </row>
    <row r="17" spans="1:13" s="45" customFormat="1" ht="36" x14ac:dyDescent="0.25">
      <c r="A17" s="44"/>
      <c r="B17" s="41">
        <f t="shared" si="0"/>
        <v>8</v>
      </c>
      <c r="C17" s="40" t="s">
        <v>7</v>
      </c>
      <c r="D17" s="48" t="s">
        <v>22</v>
      </c>
      <c r="E17" s="28" t="s">
        <v>71</v>
      </c>
      <c r="F17" s="28" t="s">
        <v>117</v>
      </c>
      <c r="G17" s="28" t="s">
        <v>132</v>
      </c>
      <c r="H17" s="28" t="s">
        <v>177</v>
      </c>
      <c r="I17" s="28" t="s">
        <v>197</v>
      </c>
      <c r="J17" s="28">
        <v>1</v>
      </c>
      <c r="K17" s="28">
        <f t="shared" ref="K17" si="4">J17*5</f>
        <v>5</v>
      </c>
      <c r="L17" s="69">
        <v>1.38</v>
      </c>
      <c r="M17" s="28"/>
    </row>
    <row r="18" spans="1:13" s="45" customFormat="1" x14ac:dyDescent="0.25">
      <c r="A18" s="44"/>
      <c r="B18" s="39">
        <f>ROW(B18) - ROW($B$9)</f>
        <v>9</v>
      </c>
      <c r="C18" s="40" t="s">
        <v>7</v>
      </c>
      <c r="D18" s="47" t="s">
        <v>23</v>
      </c>
      <c r="E18" s="27" t="s">
        <v>72</v>
      </c>
      <c r="F18" s="27" t="s">
        <v>117</v>
      </c>
      <c r="G18" s="27" t="s">
        <v>242</v>
      </c>
      <c r="H18" s="27" t="s">
        <v>178</v>
      </c>
      <c r="I18" s="27" t="s">
        <v>198</v>
      </c>
      <c r="J18" s="27">
        <v>1</v>
      </c>
      <c r="K18" s="27">
        <f>J18*5</f>
        <v>5</v>
      </c>
      <c r="L18" s="68">
        <v>1.3</v>
      </c>
      <c r="M18" s="27"/>
    </row>
    <row r="19" spans="1:13" s="45" customFormat="1" ht="36" x14ac:dyDescent="0.25">
      <c r="A19" s="44"/>
      <c r="B19" s="41">
        <f t="shared" si="0"/>
        <v>10</v>
      </c>
      <c r="C19" s="40" t="s">
        <v>7</v>
      </c>
      <c r="D19" s="48" t="s">
        <v>24</v>
      </c>
      <c r="E19" s="28" t="s">
        <v>73</v>
      </c>
      <c r="F19" s="28" t="s">
        <v>118</v>
      </c>
      <c r="G19" s="28" t="s">
        <v>133</v>
      </c>
      <c r="H19" s="28" t="s">
        <v>177</v>
      </c>
      <c r="I19" s="28" t="s">
        <v>190</v>
      </c>
      <c r="J19" s="28">
        <v>2</v>
      </c>
      <c r="K19" s="28">
        <f t="shared" ref="K19" si="5">J19*5</f>
        <v>10</v>
      </c>
      <c r="L19" s="69">
        <v>5.4706999999999999</v>
      </c>
      <c r="M19" s="28"/>
    </row>
    <row r="20" spans="1:13" s="45" customFormat="1" ht="36" x14ac:dyDescent="0.25">
      <c r="A20" s="44"/>
      <c r="B20" s="39">
        <f>ROW(B20) - ROW($B$9)</f>
        <v>11</v>
      </c>
      <c r="C20" s="40" t="s">
        <v>7</v>
      </c>
      <c r="D20" s="47" t="s">
        <v>25</v>
      </c>
      <c r="E20" s="27" t="s">
        <v>74</v>
      </c>
      <c r="F20" s="27" t="s">
        <v>119</v>
      </c>
      <c r="G20" s="27" t="s">
        <v>134</v>
      </c>
      <c r="H20" s="27" t="s">
        <v>179</v>
      </c>
      <c r="I20" s="27" t="s">
        <v>199</v>
      </c>
      <c r="J20" s="27">
        <v>1</v>
      </c>
      <c r="K20" s="27">
        <f>J20*5</f>
        <v>5</v>
      </c>
      <c r="L20" s="68">
        <v>1.5649999999999999</v>
      </c>
      <c r="M20" s="27"/>
    </row>
    <row r="21" spans="1:13" s="45" customFormat="1" x14ac:dyDescent="0.25">
      <c r="A21" s="44"/>
      <c r="B21" s="41">
        <f t="shared" si="0"/>
        <v>12</v>
      </c>
      <c r="C21" s="40" t="s">
        <v>7</v>
      </c>
      <c r="D21" s="48" t="s">
        <v>26</v>
      </c>
      <c r="E21" s="28" t="s">
        <v>75</v>
      </c>
      <c r="F21" s="28" t="s">
        <v>118</v>
      </c>
      <c r="G21" s="28" t="s">
        <v>243</v>
      </c>
      <c r="H21" s="28" t="s">
        <v>175</v>
      </c>
      <c r="I21" s="28" t="s">
        <v>200</v>
      </c>
      <c r="J21" s="28">
        <v>1</v>
      </c>
      <c r="K21" s="28">
        <f t="shared" ref="K21" si="6">J21*5</f>
        <v>5</v>
      </c>
      <c r="L21" s="69">
        <v>2.8291999999999997</v>
      </c>
      <c r="M21" s="28"/>
    </row>
    <row r="22" spans="1:13" s="45" customFormat="1" x14ac:dyDescent="0.25">
      <c r="A22" s="44"/>
      <c r="B22" s="39">
        <f>ROW(B22) - ROW($B$9)</f>
        <v>13</v>
      </c>
      <c r="C22" s="40" t="s">
        <v>7</v>
      </c>
      <c r="D22" s="47" t="s">
        <v>27</v>
      </c>
      <c r="E22" s="27" t="s">
        <v>76</v>
      </c>
      <c r="F22" s="27" t="s">
        <v>117</v>
      </c>
      <c r="G22" s="27" t="s">
        <v>244</v>
      </c>
      <c r="H22" s="27" t="s">
        <v>180</v>
      </c>
      <c r="I22" s="27" t="s">
        <v>201</v>
      </c>
      <c r="J22" s="27">
        <v>1</v>
      </c>
      <c r="K22" s="27">
        <f>J22*5</f>
        <v>5</v>
      </c>
      <c r="L22" s="68">
        <v>1.175</v>
      </c>
      <c r="M22" s="27"/>
    </row>
    <row r="23" spans="1:13" s="45" customFormat="1" x14ac:dyDescent="0.25">
      <c r="A23" s="44"/>
      <c r="B23" s="41">
        <f t="shared" si="0"/>
        <v>14</v>
      </c>
      <c r="C23" s="40" t="s">
        <v>7</v>
      </c>
      <c r="D23" s="48" t="s">
        <v>28</v>
      </c>
      <c r="E23" s="28" t="s">
        <v>77</v>
      </c>
      <c r="F23" s="28" t="s">
        <v>116</v>
      </c>
      <c r="G23" s="28" t="s">
        <v>135</v>
      </c>
      <c r="H23" s="28" t="s">
        <v>180</v>
      </c>
      <c r="I23" s="28" t="s">
        <v>202</v>
      </c>
      <c r="J23" s="28">
        <v>1</v>
      </c>
      <c r="K23" s="28">
        <f t="shared" ref="K23" si="7">J23*5</f>
        <v>5</v>
      </c>
      <c r="L23" s="69">
        <v>1.6120000000000001</v>
      </c>
      <c r="M23" s="28"/>
    </row>
    <row r="24" spans="1:13" s="45" customFormat="1" ht="48" x14ac:dyDescent="0.25">
      <c r="A24" s="44"/>
      <c r="B24" s="39">
        <f>ROW(B24) - ROW($B$9)</f>
        <v>15</v>
      </c>
      <c r="C24" s="42" t="s">
        <v>8</v>
      </c>
      <c r="D24" s="47" t="s">
        <v>29</v>
      </c>
      <c r="E24" s="27" t="s">
        <v>78</v>
      </c>
      <c r="F24" s="27" t="s">
        <v>120</v>
      </c>
      <c r="G24" s="27" t="s">
        <v>136</v>
      </c>
      <c r="H24" s="27" t="s">
        <v>181</v>
      </c>
      <c r="I24" s="27" t="s">
        <v>236</v>
      </c>
      <c r="J24" s="27">
        <v>1</v>
      </c>
      <c r="K24" s="27">
        <f>J24*5</f>
        <v>5</v>
      </c>
      <c r="L24" s="68">
        <v>1.756</v>
      </c>
      <c r="M24" s="27"/>
    </row>
    <row r="25" spans="1:13" s="45" customFormat="1" ht="48" x14ac:dyDescent="0.25">
      <c r="A25" s="44"/>
      <c r="B25" s="41">
        <f t="shared" si="0"/>
        <v>16</v>
      </c>
      <c r="C25" s="40" t="s">
        <v>8</v>
      </c>
      <c r="D25" s="48" t="s">
        <v>30</v>
      </c>
      <c r="E25" s="28" t="s">
        <v>79</v>
      </c>
      <c r="F25" s="28" t="s">
        <v>121</v>
      </c>
      <c r="G25" s="28" t="s">
        <v>137</v>
      </c>
      <c r="H25" s="28" t="s">
        <v>182</v>
      </c>
      <c r="I25" s="28" t="s">
        <v>236</v>
      </c>
      <c r="J25" s="28">
        <v>1</v>
      </c>
      <c r="K25" s="28">
        <f t="shared" ref="K25" si="8">J25*5</f>
        <v>5</v>
      </c>
      <c r="L25" s="69">
        <v>1.625</v>
      </c>
      <c r="M25" s="28"/>
    </row>
    <row r="26" spans="1:13" s="45" customFormat="1" ht="48" x14ac:dyDescent="0.25">
      <c r="A26" s="44"/>
      <c r="B26" s="39">
        <f>ROW(B26) - ROW($B$9)</f>
        <v>17</v>
      </c>
      <c r="C26" s="42" t="s">
        <v>9</v>
      </c>
      <c r="D26" s="47" t="s">
        <v>31</v>
      </c>
      <c r="E26" s="27" t="s">
        <v>80</v>
      </c>
      <c r="F26" s="27" t="s">
        <v>235</v>
      </c>
      <c r="G26" s="27" t="s">
        <v>138</v>
      </c>
      <c r="H26" s="27" t="s">
        <v>183</v>
      </c>
      <c r="I26" s="27" t="s">
        <v>236</v>
      </c>
      <c r="J26" s="27">
        <v>1</v>
      </c>
      <c r="K26" s="27">
        <f>J26*5</f>
        <v>5</v>
      </c>
      <c r="L26" s="68">
        <v>1.9849999999999999</v>
      </c>
      <c r="M26" s="27"/>
    </row>
    <row r="27" spans="1:13" s="45" customFormat="1" ht="36" x14ac:dyDescent="0.25">
      <c r="A27" s="44"/>
      <c r="B27" s="41">
        <f t="shared" si="0"/>
        <v>18</v>
      </c>
      <c r="C27" s="40" t="s">
        <v>11</v>
      </c>
      <c r="D27" s="48" t="s">
        <v>247</v>
      </c>
      <c r="E27" s="28" t="s">
        <v>248</v>
      </c>
      <c r="F27" s="28" t="s">
        <v>235</v>
      </c>
      <c r="G27" s="28" t="s">
        <v>249</v>
      </c>
      <c r="H27" s="28" t="s">
        <v>250</v>
      </c>
      <c r="I27" s="28" t="s">
        <v>203</v>
      </c>
      <c r="J27" s="28">
        <v>2</v>
      </c>
      <c r="K27" s="28">
        <f t="shared" ref="K27" si="9">J27*5</f>
        <v>10</v>
      </c>
      <c r="L27" s="69">
        <v>5.5070000000000006</v>
      </c>
      <c r="M27" s="28"/>
    </row>
    <row r="28" spans="1:13" s="45" customFormat="1" ht="36" x14ac:dyDescent="0.25">
      <c r="A28" s="44"/>
      <c r="B28" s="39">
        <f>ROW(B28) - ROW($B$9)</f>
        <v>19</v>
      </c>
      <c r="C28" s="42" t="s">
        <v>10</v>
      </c>
      <c r="D28" s="47" t="s">
        <v>32</v>
      </c>
      <c r="E28" s="27" t="s">
        <v>82</v>
      </c>
      <c r="F28" s="27" t="s">
        <v>122</v>
      </c>
      <c r="G28" s="27" t="s">
        <v>140</v>
      </c>
      <c r="H28" s="27" t="s">
        <v>174</v>
      </c>
      <c r="I28" s="27" t="s">
        <v>204</v>
      </c>
      <c r="J28" s="27">
        <v>13</v>
      </c>
      <c r="K28" s="27">
        <f>J28*5</f>
        <v>65</v>
      </c>
      <c r="L28" s="68">
        <v>2.7040000000000002</v>
      </c>
      <c r="M28" s="27"/>
    </row>
    <row r="29" spans="1:13" s="45" customFormat="1" ht="36" x14ac:dyDescent="0.25">
      <c r="A29" s="44"/>
      <c r="B29" s="41">
        <f t="shared" si="0"/>
        <v>20</v>
      </c>
      <c r="C29" s="40" t="s">
        <v>11</v>
      </c>
      <c r="D29" s="48" t="s">
        <v>251</v>
      </c>
      <c r="E29" s="28" t="s">
        <v>83</v>
      </c>
      <c r="F29" s="28" t="s">
        <v>235</v>
      </c>
      <c r="G29" s="28" t="s">
        <v>141</v>
      </c>
      <c r="H29" s="28" t="s">
        <v>185</v>
      </c>
      <c r="I29" s="28" t="s">
        <v>205</v>
      </c>
      <c r="J29" s="28">
        <v>1</v>
      </c>
      <c r="K29" s="28">
        <f t="shared" ref="K29" si="10">J29*5</f>
        <v>5</v>
      </c>
      <c r="L29" s="69">
        <v>1.675</v>
      </c>
      <c r="M29" s="28"/>
    </row>
    <row r="30" spans="1:13" s="45" customFormat="1" ht="24" x14ac:dyDescent="0.25">
      <c r="A30" s="44"/>
      <c r="B30" s="39">
        <f>ROW(B30) - ROW($B$9)</f>
        <v>21</v>
      </c>
      <c r="C30" s="42" t="s">
        <v>10</v>
      </c>
      <c r="D30" s="47" t="s">
        <v>33</v>
      </c>
      <c r="E30" s="27" t="s">
        <v>84</v>
      </c>
      <c r="F30" s="27" t="s">
        <v>122</v>
      </c>
      <c r="G30" s="27" t="s">
        <v>142</v>
      </c>
      <c r="H30" s="27" t="s">
        <v>174</v>
      </c>
      <c r="I30" s="27" t="s">
        <v>206</v>
      </c>
      <c r="J30" s="27">
        <v>4</v>
      </c>
      <c r="K30" s="27">
        <f>J30*5</f>
        <v>20</v>
      </c>
      <c r="L30" s="68">
        <v>1.8199999999999998</v>
      </c>
      <c r="M30" s="27"/>
    </row>
    <row r="31" spans="1:13" s="45" customFormat="1" ht="24" x14ac:dyDescent="0.25">
      <c r="A31" s="44"/>
      <c r="B31" s="41">
        <f t="shared" si="0"/>
        <v>22</v>
      </c>
      <c r="C31" s="40" t="s">
        <v>10</v>
      </c>
      <c r="D31" s="48" t="s">
        <v>34</v>
      </c>
      <c r="E31" s="28" t="s">
        <v>85</v>
      </c>
      <c r="F31" s="28" t="s">
        <v>122</v>
      </c>
      <c r="G31" s="28" t="s">
        <v>143</v>
      </c>
      <c r="H31" s="28" t="s">
        <v>174</v>
      </c>
      <c r="I31" s="28" t="s">
        <v>207</v>
      </c>
      <c r="J31" s="28">
        <v>2</v>
      </c>
      <c r="K31" s="28">
        <f t="shared" ref="K31" si="11">J31*5</f>
        <v>10</v>
      </c>
      <c r="L31" s="69">
        <v>1.52</v>
      </c>
      <c r="M31" s="28"/>
    </row>
    <row r="32" spans="1:13" s="45" customFormat="1" ht="24" x14ac:dyDescent="0.25">
      <c r="A32" s="44"/>
      <c r="B32" s="39">
        <f>ROW(B32) - ROW($B$9)</f>
        <v>23</v>
      </c>
      <c r="C32" s="42" t="s">
        <v>10</v>
      </c>
      <c r="D32" s="47" t="s">
        <v>35</v>
      </c>
      <c r="E32" s="27" t="s">
        <v>86</v>
      </c>
      <c r="F32" s="27" t="s">
        <v>122</v>
      </c>
      <c r="G32" s="27" t="s">
        <v>144</v>
      </c>
      <c r="H32" s="27" t="s">
        <v>174</v>
      </c>
      <c r="I32" s="27" t="s">
        <v>208</v>
      </c>
      <c r="J32" s="27">
        <v>1</v>
      </c>
      <c r="K32" s="27">
        <f>J32*5</f>
        <v>5</v>
      </c>
      <c r="L32" s="68">
        <v>1.488</v>
      </c>
      <c r="M32" s="27"/>
    </row>
    <row r="33" spans="1:13" s="45" customFormat="1" ht="24" x14ac:dyDescent="0.25">
      <c r="A33" s="44"/>
      <c r="B33" s="39"/>
      <c r="C33" s="40" t="s">
        <v>11</v>
      </c>
      <c r="D33" s="48" t="s">
        <v>252</v>
      </c>
      <c r="E33" s="28" t="s">
        <v>253</v>
      </c>
      <c r="F33" s="28" t="s">
        <v>235</v>
      </c>
      <c r="G33" s="28" t="s">
        <v>254</v>
      </c>
      <c r="H33" s="28" t="s">
        <v>250</v>
      </c>
      <c r="I33" s="28" t="s">
        <v>205</v>
      </c>
      <c r="J33" s="28">
        <v>1</v>
      </c>
      <c r="K33" s="27">
        <f t="shared" ref="K33:K34" si="12">J33*5</f>
        <v>5</v>
      </c>
      <c r="L33" s="68">
        <v>4.37</v>
      </c>
      <c r="M33" s="28"/>
    </row>
    <row r="34" spans="1:13" s="45" customFormat="1" ht="24" x14ac:dyDescent="0.25">
      <c r="A34" s="44"/>
      <c r="B34" s="41">
        <f t="shared" si="0"/>
        <v>25</v>
      </c>
      <c r="C34" s="40" t="s">
        <v>10</v>
      </c>
      <c r="D34" s="48" t="s">
        <v>36</v>
      </c>
      <c r="E34" s="28" t="s">
        <v>87</v>
      </c>
      <c r="F34" s="28" t="s">
        <v>122</v>
      </c>
      <c r="G34" s="28" t="s">
        <v>145</v>
      </c>
      <c r="H34" s="28" t="s">
        <v>174</v>
      </c>
      <c r="I34" s="28" t="s">
        <v>209</v>
      </c>
      <c r="J34" s="28">
        <v>2</v>
      </c>
      <c r="K34" s="27">
        <f t="shared" si="12"/>
        <v>10</v>
      </c>
      <c r="L34" s="68">
        <v>1.512</v>
      </c>
      <c r="M34" s="27"/>
    </row>
    <row r="35" spans="1:13" s="45" customFormat="1" ht="24" x14ac:dyDescent="0.25">
      <c r="A35" s="44"/>
      <c r="B35" s="39">
        <f>ROW(B35) - ROW($B$9)</f>
        <v>26</v>
      </c>
      <c r="C35" s="42" t="s">
        <v>10</v>
      </c>
      <c r="D35" s="47" t="s">
        <v>37</v>
      </c>
      <c r="E35" s="27" t="s">
        <v>88</v>
      </c>
      <c r="F35" s="27" t="s">
        <v>122</v>
      </c>
      <c r="G35" s="27" t="s">
        <v>146</v>
      </c>
      <c r="H35" s="27" t="s">
        <v>174</v>
      </c>
      <c r="I35" s="27" t="s">
        <v>210</v>
      </c>
      <c r="J35" s="27">
        <v>1</v>
      </c>
      <c r="K35" s="27">
        <f>J35*5</f>
        <v>5</v>
      </c>
      <c r="L35" s="68">
        <v>1.464</v>
      </c>
      <c r="M35" s="28"/>
    </row>
    <row r="36" spans="1:13" s="45" customFormat="1" ht="24" x14ac:dyDescent="0.25">
      <c r="A36" s="44"/>
      <c r="B36" s="41">
        <f t="shared" si="0"/>
        <v>27</v>
      </c>
      <c r="C36" s="40" t="s">
        <v>10</v>
      </c>
      <c r="D36" s="48" t="s">
        <v>38</v>
      </c>
      <c r="E36" s="28" t="s">
        <v>89</v>
      </c>
      <c r="F36" s="28" t="s">
        <v>122</v>
      </c>
      <c r="G36" s="28" t="s">
        <v>147</v>
      </c>
      <c r="H36" s="28" t="s">
        <v>186</v>
      </c>
      <c r="I36" s="28" t="s">
        <v>211</v>
      </c>
      <c r="J36" s="28">
        <v>2</v>
      </c>
      <c r="K36" s="28">
        <f t="shared" ref="K36" si="13">J36*5</f>
        <v>10</v>
      </c>
      <c r="L36" s="68">
        <v>1.335</v>
      </c>
      <c r="M36" s="27"/>
    </row>
    <row r="37" spans="1:13" s="45" customFormat="1" ht="24" x14ac:dyDescent="0.25">
      <c r="A37" s="44"/>
      <c r="B37" s="39">
        <f>ROW(B37) - ROW($B$9)</f>
        <v>28</v>
      </c>
      <c r="C37" s="42" t="s">
        <v>10</v>
      </c>
      <c r="D37" s="47" t="s">
        <v>39</v>
      </c>
      <c r="E37" s="27" t="s">
        <v>90</v>
      </c>
      <c r="F37" s="27" t="s">
        <v>123</v>
      </c>
      <c r="G37" s="27" t="s">
        <v>148</v>
      </c>
      <c r="H37" s="27" t="s">
        <v>186</v>
      </c>
      <c r="I37" s="27" t="s">
        <v>212</v>
      </c>
      <c r="J37" s="27">
        <v>3</v>
      </c>
      <c r="K37" s="27">
        <f>J37*5</f>
        <v>15</v>
      </c>
      <c r="L37" s="68">
        <v>1.7799999999999998</v>
      </c>
      <c r="M37" s="28"/>
    </row>
    <row r="38" spans="1:13" s="45" customFormat="1" ht="36" x14ac:dyDescent="0.25">
      <c r="A38" s="44"/>
      <c r="B38" s="41">
        <f t="shared" si="0"/>
        <v>29</v>
      </c>
      <c r="C38" s="40" t="s">
        <v>10</v>
      </c>
      <c r="D38" s="48" t="s">
        <v>40</v>
      </c>
      <c r="E38" s="28" t="s">
        <v>91</v>
      </c>
      <c r="F38" s="28" t="s">
        <v>124</v>
      </c>
      <c r="G38" s="28" t="s">
        <v>149</v>
      </c>
      <c r="H38" s="28" t="s">
        <v>186</v>
      </c>
      <c r="I38" s="28" t="s">
        <v>213</v>
      </c>
      <c r="J38" s="28">
        <v>2</v>
      </c>
      <c r="K38" s="28">
        <f t="shared" ref="K38" si="14">J38*5</f>
        <v>10</v>
      </c>
      <c r="L38" s="68">
        <v>1.4220000000000002</v>
      </c>
      <c r="M38" s="27"/>
    </row>
    <row r="39" spans="1:13" s="45" customFormat="1" ht="36" x14ac:dyDescent="0.25">
      <c r="A39" s="44"/>
      <c r="B39" s="39">
        <f>ROW(B39) - ROW($B$9)</f>
        <v>30</v>
      </c>
      <c r="C39" s="42" t="s">
        <v>10</v>
      </c>
      <c r="D39" s="47" t="s">
        <v>41</v>
      </c>
      <c r="E39" s="27" t="s">
        <v>92</v>
      </c>
      <c r="F39" s="27" t="s">
        <v>122</v>
      </c>
      <c r="G39" s="27" t="s">
        <v>150</v>
      </c>
      <c r="H39" s="27" t="s">
        <v>186</v>
      </c>
      <c r="I39" s="27" t="s">
        <v>214</v>
      </c>
      <c r="J39" s="27">
        <v>3</v>
      </c>
      <c r="K39" s="27">
        <f>J39*5</f>
        <v>15</v>
      </c>
      <c r="L39" s="68">
        <v>1.492</v>
      </c>
      <c r="M39" s="28"/>
    </row>
    <row r="40" spans="1:13" s="45" customFormat="1" x14ac:dyDescent="0.25">
      <c r="A40" s="44"/>
      <c r="B40" s="41">
        <f t="shared" si="0"/>
        <v>31</v>
      </c>
      <c r="C40" s="40" t="s">
        <v>10</v>
      </c>
      <c r="D40" s="48" t="s">
        <v>42</v>
      </c>
      <c r="E40" s="28" t="s">
        <v>93</v>
      </c>
      <c r="F40" s="28" t="s">
        <v>122</v>
      </c>
      <c r="G40" s="28" t="s">
        <v>151</v>
      </c>
      <c r="H40" s="28" t="s">
        <v>174</v>
      </c>
      <c r="I40" s="28" t="s">
        <v>215</v>
      </c>
      <c r="J40" s="28">
        <v>2</v>
      </c>
      <c r="K40" s="28">
        <f t="shared" ref="K40" si="15">J40*5</f>
        <v>10</v>
      </c>
      <c r="L40" s="68">
        <v>1.33</v>
      </c>
      <c r="M40" s="27"/>
    </row>
    <row r="41" spans="1:13" s="45" customFormat="1" ht="24" x14ac:dyDescent="0.25">
      <c r="A41" s="44"/>
      <c r="B41" s="39">
        <f>ROW(B41) - ROW($B$9)</f>
        <v>32</v>
      </c>
      <c r="C41" s="42" t="s">
        <v>10</v>
      </c>
      <c r="D41" s="47" t="s">
        <v>43</v>
      </c>
      <c r="E41" s="27" t="s">
        <v>94</v>
      </c>
      <c r="F41" s="27" t="s">
        <v>122</v>
      </c>
      <c r="G41" s="27" t="s">
        <v>152</v>
      </c>
      <c r="H41" s="27" t="s">
        <v>174</v>
      </c>
      <c r="I41" s="27" t="s">
        <v>216</v>
      </c>
      <c r="J41" s="27">
        <v>3</v>
      </c>
      <c r="K41" s="27">
        <f>J41*5</f>
        <v>15</v>
      </c>
      <c r="L41" s="68">
        <v>1.516</v>
      </c>
      <c r="M41" s="28"/>
    </row>
    <row r="42" spans="1:13" s="45" customFormat="1" x14ac:dyDescent="0.25">
      <c r="A42" s="44"/>
      <c r="B42" s="41">
        <f t="shared" si="0"/>
        <v>33</v>
      </c>
      <c r="C42" s="40"/>
      <c r="D42" s="48" t="s">
        <v>44</v>
      </c>
      <c r="E42" s="28" t="s">
        <v>95</v>
      </c>
      <c r="F42" s="28" t="s">
        <v>124</v>
      </c>
      <c r="G42" s="28" t="s">
        <v>153</v>
      </c>
      <c r="H42" s="28" t="s">
        <v>174</v>
      </c>
      <c r="I42" s="28" t="s">
        <v>217</v>
      </c>
      <c r="J42" s="28">
        <v>3</v>
      </c>
      <c r="K42" s="28">
        <f t="shared" ref="K42" si="16">J42*5</f>
        <v>15</v>
      </c>
      <c r="L42" s="68">
        <v>0.99</v>
      </c>
      <c r="M42" s="27"/>
    </row>
    <row r="43" spans="1:13" s="45" customFormat="1" x14ac:dyDescent="0.25">
      <c r="A43" s="44"/>
      <c r="B43" s="39">
        <f>ROW(B43) - ROW($B$9)</f>
        <v>34</v>
      </c>
      <c r="C43" s="42" t="s">
        <v>10</v>
      </c>
      <c r="D43" s="47" t="s">
        <v>45</v>
      </c>
      <c r="E43" s="27" t="s">
        <v>96</v>
      </c>
      <c r="F43" s="27" t="s">
        <v>122</v>
      </c>
      <c r="G43" s="27" t="s">
        <v>154</v>
      </c>
      <c r="H43" s="27" t="s">
        <v>174</v>
      </c>
      <c r="I43" s="27" t="s">
        <v>218</v>
      </c>
      <c r="J43" s="27">
        <v>2</v>
      </c>
      <c r="K43" s="27">
        <f>J43*5</f>
        <v>10</v>
      </c>
      <c r="L43" s="68">
        <v>1.04</v>
      </c>
      <c r="M43" s="28"/>
    </row>
    <row r="44" spans="1:13" s="45" customFormat="1" ht="36" x14ac:dyDescent="0.25">
      <c r="A44" s="44"/>
      <c r="B44" s="41">
        <f t="shared" si="0"/>
        <v>35</v>
      </c>
      <c r="C44" s="40" t="s">
        <v>10</v>
      </c>
      <c r="D44" s="48" t="s">
        <v>46</v>
      </c>
      <c r="E44" s="28" t="s">
        <v>97</v>
      </c>
      <c r="F44" s="28" t="s">
        <v>122</v>
      </c>
      <c r="G44" s="28" t="s">
        <v>155</v>
      </c>
      <c r="H44" s="28" t="s">
        <v>186</v>
      </c>
      <c r="I44" s="28" t="s">
        <v>219</v>
      </c>
      <c r="J44" s="28">
        <v>3</v>
      </c>
      <c r="K44" s="28">
        <f t="shared" ref="K44" si="17">J44*5</f>
        <v>15</v>
      </c>
      <c r="L44" s="68">
        <v>1.464</v>
      </c>
      <c r="M44" s="27"/>
    </row>
    <row r="45" spans="1:13" s="45" customFormat="1" ht="24" x14ac:dyDescent="0.25">
      <c r="A45" s="44"/>
      <c r="B45" s="39">
        <f>ROW(B45) - ROW($B$9)</f>
        <v>36</v>
      </c>
      <c r="C45" s="42" t="s">
        <v>10</v>
      </c>
      <c r="D45" s="47" t="s">
        <v>47</v>
      </c>
      <c r="E45" s="27" t="s">
        <v>98</v>
      </c>
      <c r="F45" s="27" t="s">
        <v>124</v>
      </c>
      <c r="G45" s="27" t="s">
        <v>156</v>
      </c>
      <c r="H45" s="27" t="s">
        <v>174</v>
      </c>
      <c r="I45" s="27" t="s">
        <v>220</v>
      </c>
      <c r="J45" s="27">
        <v>2</v>
      </c>
      <c r="K45" s="27">
        <f>J45*5</f>
        <v>10</v>
      </c>
      <c r="L45" s="68">
        <v>1.4180000000000001</v>
      </c>
      <c r="M45" s="28"/>
    </row>
    <row r="46" spans="1:13" s="45" customFormat="1" ht="36" x14ac:dyDescent="0.25">
      <c r="A46" s="44"/>
      <c r="B46" s="41">
        <f t="shared" si="0"/>
        <v>37</v>
      </c>
      <c r="C46" s="40" t="s">
        <v>10</v>
      </c>
      <c r="D46" s="48" t="s">
        <v>48</v>
      </c>
      <c r="E46" s="28" t="s">
        <v>99</v>
      </c>
      <c r="F46" s="28" t="s">
        <v>122</v>
      </c>
      <c r="G46" s="28" t="s">
        <v>157</v>
      </c>
      <c r="H46" s="28" t="s">
        <v>186</v>
      </c>
      <c r="I46" s="28" t="s">
        <v>221</v>
      </c>
      <c r="J46" s="28">
        <v>3</v>
      </c>
      <c r="K46" s="28">
        <f t="shared" ref="K46" si="18">J46*5</f>
        <v>15</v>
      </c>
      <c r="L46" s="68">
        <v>1.524</v>
      </c>
      <c r="M46" s="27"/>
    </row>
    <row r="47" spans="1:13" s="45" customFormat="1" ht="24" x14ac:dyDescent="0.25">
      <c r="A47" s="44"/>
      <c r="B47" s="39">
        <f>ROW(B47) - ROW($B$9)</f>
        <v>38</v>
      </c>
      <c r="C47" s="42" t="s">
        <v>10</v>
      </c>
      <c r="D47" s="47" t="s">
        <v>49</v>
      </c>
      <c r="E47" s="27" t="s">
        <v>100</v>
      </c>
      <c r="F47" s="27" t="s">
        <v>122</v>
      </c>
      <c r="G47" s="27" t="s">
        <v>158</v>
      </c>
      <c r="H47" s="27" t="s">
        <v>174</v>
      </c>
      <c r="I47" s="27" t="s">
        <v>222</v>
      </c>
      <c r="J47" s="27">
        <v>2</v>
      </c>
      <c r="K47" s="27">
        <f>J47*5</f>
        <v>10</v>
      </c>
      <c r="L47" s="68">
        <v>1.476</v>
      </c>
      <c r="M47" s="28"/>
    </row>
    <row r="48" spans="1:13" s="45" customFormat="1" ht="48" x14ac:dyDescent="0.25">
      <c r="A48" s="44"/>
      <c r="B48" s="41">
        <f t="shared" si="0"/>
        <v>39</v>
      </c>
      <c r="C48" s="40" t="s">
        <v>10</v>
      </c>
      <c r="D48" s="48" t="s">
        <v>50</v>
      </c>
      <c r="E48" s="28" t="s">
        <v>101</v>
      </c>
      <c r="F48" s="28" t="s">
        <v>123</v>
      </c>
      <c r="G48" s="28" t="s">
        <v>159</v>
      </c>
      <c r="H48" s="28" t="s">
        <v>186</v>
      </c>
      <c r="I48" s="28" t="s">
        <v>223</v>
      </c>
      <c r="J48" s="28">
        <v>2</v>
      </c>
      <c r="K48" s="28">
        <f t="shared" ref="K48" si="19">J48*5</f>
        <v>10</v>
      </c>
      <c r="L48" s="68">
        <v>1.5680000000000001</v>
      </c>
      <c r="M48" s="27"/>
    </row>
    <row r="49" spans="1:18" s="45" customFormat="1" ht="24" x14ac:dyDescent="0.25">
      <c r="A49" s="44"/>
      <c r="B49" s="39">
        <f>ROW(B49) - ROW($B$9)</f>
        <v>40</v>
      </c>
      <c r="C49" s="42" t="s">
        <v>10</v>
      </c>
      <c r="D49" s="47" t="s">
        <v>51</v>
      </c>
      <c r="E49" s="27" t="s">
        <v>102</v>
      </c>
      <c r="F49" s="27" t="s">
        <v>124</v>
      </c>
      <c r="G49" s="27" t="s">
        <v>160</v>
      </c>
      <c r="H49" s="27" t="s">
        <v>174</v>
      </c>
      <c r="I49" s="27" t="s">
        <v>224</v>
      </c>
      <c r="J49" s="27">
        <v>3</v>
      </c>
      <c r="K49" s="27">
        <f>J49*5</f>
        <v>15</v>
      </c>
      <c r="L49" s="68">
        <v>1.4359999999999999</v>
      </c>
      <c r="M49" s="28"/>
    </row>
    <row r="50" spans="1:18" s="45" customFormat="1" ht="24" x14ac:dyDescent="0.25">
      <c r="A50" s="44"/>
      <c r="B50" s="41">
        <f t="shared" si="0"/>
        <v>41</v>
      </c>
      <c r="C50" s="40" t="s">
        <v>10</v>
      </c>
      <c r="D50" s="48" t="s">
        <v>52</v>
      </c>
      <c r="E50" s="28" t="s">
        <v>103</v>
      </c>
      <c r="F50" s="28" t="s">
        <v>122</v>
      </c>
      <c r="G50" s="28" t="s">
        <v>161</v>
      </c>
      <c r="H50" s="28" t="s">
        <v>174</v>
      </c>
      <c r="I50" s="28" t="s">
        <v>225</v>
      </c>
      <c r="J50" s="28">
        <v>1</v>
      </c>
      <c r="K50" s="28">
        <f t="shared" ref="K50" si="20">J50*5</f>
        <v>5</v>
      </c>
      <c r="L50" s="68">
        <v>1.508</v>
      </c>
      <c r="M50" s="27"/>
    </row>
    <row r="51" spans="1:18" s="45" customFormat="1" ht="48" x14ac:dyDescent="0.25">
      <c r="A51" s="44"/>
      <c r="B51" s="39">
        <f>ROW(B51) - ROW($B$9)</f>
        <v>42</v>
      </c>
      <c r="C51" s="42" t="s">
        <v>10</v>
      </c>
      <c r="D51" s="47" t="s">
        <v>53</v>
      </c>
      <c r="E51" s="27" t="s">
        <v>104</v>
      </c>
      <c r="F51" s="27" t="s">
        <v>123</v>
      </c>
      <c r="G51" s="27" t="s">
        <v>162</v>
      </c>
      <c r="H51" s="27" t="s">
        <v>187</v>
      </c>
      <c r="I51" s="27" t="s">
        <v>226</v>
      </c>
      <c r="J51" s="27">
        <v>1</v>
      </c>
      <c r="K51" s="27">
        <f>J51*5</f>
        <v>5</v>
      </c>
      <c r="L51" s="68">
        <v>1.1100000000000001</v>
      </c>
      <c r="M51" s="28"/>
    </row>
    <row r="52" spans="1:18" s="45" customFormat="1" ht="24" x14ac:dyDescent="0.25">
      <c r="A52" s="44"/>
      <c r="B52" s="41">
        <f t="shared" si="0"/>
        <v>43</v>
      </c>
      <c r="C52" s="40" t="s">
        <v>10</v>
      </c>
      <c r="D52" s="48" t="s">
        <v>54</v>
      </c>
      <c r="E52" s="28" t="s">
        <v>105</v>
      </c>
      <c r="F52" s="28" t="s">
        <v>123</v>
      </c>
      <c r="G52" s="28" t="s">
        <v>163</v>
      </c>
      <c r="H52" s="28" t="s">
        <v>174</v>
      </c>
      <c r="I52" s="28" t="s">
        <v>227</v>
      </c>
      <c r="J52" s="28">
        <v>1</v>
      </c>
      <c r="K52" s="28">
        <f t="shared" ref="K52" si="21">J52*5</f>
        <v>5</v>
      </c>
      <c r="L52" s="68">
        <v>1.6920000000000002</v>
      </c>
      <c r="M52" s="27"/>
    </row>
    <row r="53" spans="1:18" s="45" customFormat="1" ht="48" x14ac:dyDescent="0.25">
      <c r="A53" s="44"/>
      <c r="B53" s="39">
        <f>ROW(B53) - ROW($B$9)</f>
        <v>44</v>
      </c>
      <c r="C53" s="42" t="s">
        <v>10</v>
      </c>
      <c r="D53" s="47" t="s">
        <v>55</v>
      </c>
      <c r="E53" s="27" t="s">
        <v>106</v>
      </c>
      <c r="F53" s="27" t="s">
        <v>124</v>
      </c>
      <c r="G53" s="27" t="s">
        <v>164</v>
      </c>
      <c r="H53" s="27" t="s">
        <v>186</v>
      </c>
      <c r="I53" s="27" t="s">
        <v>228</v>
      </c>
      <c r="J53" s="27">
        <v>1</v>
      </c>
      <c r="K53" s="27">
        <f>J53*5</f>
        <v>5</v>
      </c>
      <c r="L53" s="68">
        <v>1.3540000000000001</v>
      </c>
      <c r="M53" s="28"/>
    </row>
    <row r="54" spans="1:18" s="45" customFormat="1" ht="48" x14ac:dyDescent="0.25">
      <c r="A54" s="44"/>
      <c r="B54" s="41">
        <f t="shared" si="0"/>
        <v>45</v>
      </c>
      <c r="C54" s="40" t="s">
        <v>10</v>
      </c>
      <c r="D54" s="28" t="s">
        <v>56</v>
      </c>
      <c r="E54" s="28" t="s">
        <v>107</v>
      </c>
      <c r="F54" s="28" t="s">
        <v>123</v>
      </c>
      <c r="G54" s="28" t="s">
        <v>165</v>
      </c>
      <c r="H54" s="28" t="s">
        <v>186</v>
      </c>
      <c r="I54" s="28" t="s">
        <v>229</v>
      </c>
      <c r="J54" s="28">
        <v>1</v>
      </c>
      <c r="K54" s="28">
        <f t="shared" ref="K54" si="22">J54*5</f>
        <v>5</v>
      </c>
      <c r="L54" s="68">
        <v>1.544</v>
      </c>
      <c r="M54" s="27"/>
      <c r="P54"/>
    </row>
    <row r="55" spans="1:18" s="45" customFormat="1" ht="24" x14ac:dyDescent="0.25">
      <c r="A55" s="44"/>
      <c r="B55" s="39">
        <f>ROW(B55) - ROW($B$9)</f>
        <v>46</v>
      </c>
      <c r="C55" s="42" t="s">
        <v>10</v>
      </c>
      <c r="D55" s="27" t="s">
        <v>57</v>
      </c>
      <c r="E55" s="27" t="s">
        <v>108</v>
      </c>
      <c r="F55" s="27" t="s">
        <v>124</v>
      </c>
      <c r="G55" s="27" t="s">
        <v>166</v>
      </c>
      <c r="H55" s="27" t="s">
        <v>174</v>
      </c>
      <c r="I55" s="27" t="s">
        <v>230</v>
      </c>
      <c r="J55" s="27">
        <v>1</v>
      </c>
      <c r="K55" s="27">
        <f>J55*5</f>
        <v>5</v>
      </c>
      <c r="L55" s="68">
        <v>1.4239999999999999</v>
      </c>
      <c r="M55" s="28"/>
    </row>
    <row r="56" spans="1:18" s="45" customFormat="1" ht="48" x14ac:dyDescent="0.25">
      <c r="A56" s="44"/>
      <c r="B56" s="41">
        <f t="shared" si="0"/>
        <v>47</v>
      </c>
      <c r="C56" s="40" t="s">
        <v>10</v>
      </c>
      <c r="D56" s="28" t="s">
        <v>58</v>
      </c>
      <c r="E56" s="28" t="s">
        <v>109</v>
      </c>
      <c r="F56" s="28" t="s">
        <v>122</v>
      </c>
      <c r="G56" s="28" t="s">
        <v>167</v>
      </c>
      <c r="H56" s="28" t="s">
        <v>186</v>
      </c>
      <c r="I56" s="28" t="s">
        <v>231</v>
      </c>
      <c r="J56" s="28">
        <v>1</v>
      </c>
      <c r="K56" s="28">
        <f t="shared" ref="K56:K57" si="23">J56*5</f>
        <v>5</v>
      </c>
      <c r="L56" s="68">
        <v>1.3940000000000001</v>
      </c>
      <c r="M56" s="27"/>
    </row>
    <row r="57" spans="1:18" s="45" customFormat="1" ht="24" x14ac:dyDescent="0.25">
      <c r="A57" s="44"/>
      <c r="B57" s="41">
        <f t="shared" si="0"/>
        <v>48</v>
      </c>
      <c r="C57" s="40" t="s">
        <v>11</v>
      </c>
      <c r="D57" s="28" t="s">
        <v>255</v>
      </c>
      <c r="E57" s="28" t="s">
        <v>81</v>
      </c>
      <c r="F57" s="28" t="s">
        <v>235</v>
      </c>
      <c r="G57" s="28" t="s">
        <v>139</v>
      </c>
      <c r="H57" s="28" t="s">
        <v>184</v>
      </c>
      <c r="I57" s="28" t="s">
        <v>203</v>
      </c>
      <c r="J57" s="28">
        <v>1</v>
      </c>
      <c r="K57" s="28">
        <f t="shared" si="23"/>
        <v>5</v>
      </c>
      <c r="L57" s="69">
        <v>2.36</v>
      </c>
      <c r="M57" s="28"/>
    </row>
    <row r="58" spans="1:18" s="45" customFormat="1" ht="24" x14ac:dyDescent="0.25">
      <c r="A58" s="44"/>
      <c r="B58" s="39">
        <f>ROW(B58) - ROW($B$9)</f>
        <v>49</v>
      </c>
      <c r="C58" s="42" t="s">
        <v>10</v>
      </c>
      <c r="D58" s="27" t="s">
        <v>59</v>
      </c>
      <c r="E58" s="27" t="s">
        <v>110</v>
      </c>
      <c r="F58" s="27" t="s">
        <v>122</v>
      </c>
      <c r="G58" s="27" t="s">
        <v>168</v>
      </c>
      <c r="H58" s="27" t="s">
        <v>174</v>
      </c>
      <c r="I58" s="27" t="s">
        <v>232</v>
      </c>
      <c r="J58" s="27">
        <v>2</v>
      </c>
      <c r="K58" s="27">
        <f>J58*5</f>
        <v>10</v>
      </c>
      <c r="L58" s="68">
        <v>1.4279999999999999</v>
      </c>
      <c r="M58" s="27"/>
    </row>
    <row r="59" spans="1:18" s="45" customFormat="1" x14ac:dyDescent="0.25">
      <c r="A59" s="44"/>
      <c r="B59" s="41">
        <f t="shared" si="0"/>
        <v>50</v>
      </c>
      <c r="C59" s="40" t="s">
        <v>12</v>
      </c>
      <c r="D59" s="43" t="s">
        <v>60</v>
      </c>
      <c r="E59" s="43" t="s">
        <v>111</v>
      </c>
      <c r="F59" s="43" t="s">
        <v>235</v>
      </c>
      <c r="G59" s="43" t="s">
        <v>12</v>
      </c>
      <c r="H59" s="43" t="s">
        <v>236</v>
      </c>
      <c r="I59" s="43" t="s">
        <v>236</v>
      </c>
      <c r="J59" s="43">
        <v>2</v>
      </c>
      <c r="K59" s="43">
        <f t="shared" ref="K59" si="24">J59*5</f>
        <v>10</v>
      </c>
      <c r="L59" s="70" t="s">
        <v>236</v>
      </c>
      <c r="M59" s="28"/>
    </row>
    <row r="60" spans="1:18" ht="60" x14ac:dyDescent="0.25">
      <c r="A60" s="1"/>
      <c r="B60" s="39">
        <f>ROW(B60) - ROW($B$9)</f>
        <v>51</v>
      </c>
      <c r="C60" s="42" t="s">
        <v>13</v>
      </c>
      <c r="D60" s="27" t="s">
        <v>61</v>
      </c>
      <c r="E60" s="27" t="s">
        <v>112</v>
      </c>
      <c r="F60" s="27" t="s">
        <v>235</v>
      </c>
      <c r="G60" s="27" t="s">
        <v>169</v>
      </c>
      <c r="H60" s="27" t="s">
        <v>188</v>
      </c>
      <c r="I60" s="27" t="s">
        <v>236</v>
      </c>
      <c r="J60" s="27">
        <v>9</v>
      </c>
      <c r="K60" s="27">
        <f>J60*5</f>
        <v>45</v>
      </c>
      <c r="L60" s="68">
        <v>22.756200000000003</v>
      </c>
      <c r="M60" s="28"/>
      <c r="R60" s="45"/>
    </row>
    <row r="61" spans="1:18" ht="24.75" thickBot="1" x14ac:dyDescent="0.3">
      <c r="A61" s="1"/>
      <c r="B61" s="49">
        <f t="shared" si="0"/>
        <v>52</v>
      </c>
      <c r="C61" s="50" t="s">
        <v>237</v>
      </c>
      <c r="D61" s="51" t="s">
        <v>62</v>
      </c>
      <c r="E61" s="51" t="s">
        <v>113</v>
      </c>
      <c r="F61" s="51" t="s">
        <v>125</v>
      </c>
      <c r="G61" s="51" t="s">
        <v>170</v>
      </c>
      <c r="H61" s="51" t="s">
        <v>189</v>
      </c>
      <c r="I61" s="51" t="s">
        <v>236</v>
      </c>
      <c r="J61" s="51">
        <v>3</v>
      </c>
      <c r="K61" s="51">
        <f t="shared" ref="K61" si="25">J61*5</f>
        <v>15</v>
      </c>
      <c r="L61" s="71">
        <v>3.198</v>
      </c>
      <c r="M61" s="51"/>
      <c r="R61" s="45"/>
    </row>
    <row r="62" spans="1:18" ht="19.5" thickBot="1" x14ac:dyDescent="0.3">
      <c r="B62" s="52"/>
      <c r="C62" s="53"/>
      <c r="D62" s="54"/>
      <c r="E62" s="55"/>
      <c r="F62" s="56"/>
      <c r="G62" s="57"/>
      <c r="H62" s="56"/>
      <c r="I62" s="72" t="s">
        <v>259</v>
      </c>
      <c r="J62" s="73"/>
      <c r="K62" s="73"/>
      <c r="L62" s="74">
        <f>SUM(L10:L61)</f>
        <v>112.68010000000001</v>
      </c>
      <c r="M62" s="64"/>
      <c r="R62" s="45"/>
    </row>
    <row r="63" spans="1:18" ht="19.5" thickBot="1" x14ac:dyDescent="0.3">
      <c r="I63" s="72" t="s">
        <v>260</v>
      </c>
      <c r="J63" s="73"/>
      <c r="K63" s="73"/>
      <c r="L63" s="75">
        <f>L62/5</f>
        <v>22.536020000000001</v>
      </c>
      <c r="R63" s="45"/>
    </row>
  </sheetData>
  <mergeCells count="4">
    <mergeCell ref="I1:M1"/>
    <mergeCell ref="M3:M8"/>
    <mergeCell ref="I62:K62"/>
    <mergeCell ref="I63:K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Board</vt:lpstr>
      <vt:lpstr>2 Boards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2023-03-14T12:01:57Z</dcterms:modified>
</cp:coreProperties>
</file>